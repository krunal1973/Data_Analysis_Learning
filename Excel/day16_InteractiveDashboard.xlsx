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Analytics\learning\Excel\"/>
    </mc:Choice>
  </mc:AlternateContent>
  <xr:revisionPtr revIDLastSave="0" documentId="13_ncr:1_{C1651E17-CC8E-489E-B285-0B03CEB655AE}" xr6:coauthVersionLast="47" xr6:coauthVersionMax="47" xr10:uidLastSave="{00000000-0000-0000-0000-000000000000}"/>
  <bookViews>
    <workbookView xWindow="-108" yWindow="-108" windowWidth="23256" windowHeight="12456" activeTab="1" xr2:uid="{00000000-000D-0000-FFFF-FFFF00000000}"/>
  </bookViews>
  <sheets>
    <sheet name="Pivot Table" sheetId="3" r:id="rId1"/>
    <sheet name="Dashboard" sheetId="4" r:id="rId2"/>
    <sheet name="Sales_Data" sheetId="1" r:id="rId3"/>
    <sheet name="Targets" sheetId="2" r:id="rId4"/>
  </sheets>
  <definedNames>
    <definedName name="Slicer_Category">#N/A</definedName>
    <definedName name="Slicer_City">#N/A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 i="4" l="1"/>
  <c r="G6" i="4"/>
  <c r="B6" i="4"/>
</calcChain>
</file>

<file path=xl/sharedStrings.xml><?xml version="1.0" encoding="utf-8"?>
<sst xmlns="http://schemas.openxmlformats.org/spreadsheetml/2006/main" count="439" uniqueCount="143">
  <si>
    <t>Order_ID</t>
  </si>
  <si>
    <t>Date</t>
  </si>
  <si>
    <t>Category</t>
  </si>
  <si>
    <t>Product</t>
  </si>
  <si>
    <t>City</t>
  </si>
  <si>
    <t>Sales</t>
  </si>
  <si>
    <t>Profit</t>
  </si>
  <si>
    <t>Quantity</t>
  </si>
  <si>
    <t>ORD001</t>
  </si>
  <si>
    <t>Furniture</t>
  </si>
  <si>
    <t>Table</t>
  </si>
  <si>
    <t>Bangalore</t>
  </si>
  <si>
    <t>ORD002</t>
  </si>
  <si>
    <t>Desk</t>
  </si>
  <si>
    <t>Pune</t>
  </si>
  <si>
    <t>ORD003</t>
  </si>
  <si>
    <t>Sofa</t>
  </si>
  <si>
    <t>Delhi</t>
  </si>
  <si>
    <t>ORD004</t>
  </si>
  <si>
    <t>Electronics</t>
  </si>
  <si>
    <t>Keyboard</t>
  </si>
  <si>
    <t>ORD005</t>
  </si>
  <si>
    <t>ORD006</t>
  </si>
  <si>
    <t>Monitor</t>
  </si>
  <si>
    <t>ORD007</t>
  </si>
  <si>
    <t>ORD008</t>
  </si>
  <si>
    <t>Mouse</t>
  </si>
  <si>
    <t>ORD009</t>
  </si>
  <si>
    <t>ORD010</t>
  </si>
  <si>
    <t>ORD011</t>
  </si>
  <si>
    <t>Laptop</t>
  </si>
  <si>
    <t>ORD012</t>
  </si>
  <si>
    <t>Ahmedabad</t>
  </si>
  <si>
    <t>ORD013</t>
  </si>
  <si>
    <t>Clothing</t>
  </si>
  <si>
    <t>Jeans</t>
  </si>
  <si>
    <t>ORD014</t>
  </si>
  <si>
    <t>Shoes</t>
  </si>
  <si>
    <t>Mumbai</t>
  </si>
  <si>
    <t>ORD015</t>
  </si>
  <si>
    <t>ORD016</t>
  </si>
  <si>
    <t>T-Shirt</t>
  </si>
  <si>
    <t>ORD017</t>
  </si>
  <si>
    <t>ORD018</t>
  </si>
  <si>
    <t>ORD019</t>
  </si>
  <si>
    <t>ORD020</t>
  </si>
  <si>
    <t>ORD021</t>
  </si>
  <si>
    <t>ORD022</t>
  </si>
  <si>
    <t>ORD023</t>
  </si>
  <si>
    <t>ORD024</t>
  </si>
  <si>
    <t>ORD025</t>
  </si>
  <si>
    <t>ORD026</t>
  </si>
  <si>
    <t>ORD027</t>
  </si>
  <si>
    <t>ORD028</t>
  </si>
  <si>
    <t>ORD029</t>
  </si>
  <si>
    <t>ORD030</t>
  </si>
  <si>
    <t>ORD031</t>
  </si>
  <si>
    <t>ORD032</t>
  </si>
  <si>
    <t>Chair</t>
  </si>
  <si>
    <t>ORD033</t>
  </si>
  <si>
    <t>ORD034</t>
  </si>
  <si>
    <t>ORD035</t>
  </si>
  <si>
    <t>ORD036</t>
  </si>
  <si>
    <t>ORD037</t>
  </si>
  <si>
    <t>ORD038</t>
  </si>
  <si>
    <t>ORD039</t>
  </si>
  <si>
    <t>ORD040</t>
  </si>
  <si>
    <t>ORD041</t>
  </si>
  <si>
    <t>ORD042</t>
  </si>
  <si>
    <t>ORD043</t>
  </si>
  <si>
    <t>Jacket</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</si>
  <si>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</si>
  <si>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</si>
  <si>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</si>
  <si>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</si>
  <si>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</si>
  <si>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</si>
  <si>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</si>
  <si>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</si>
  <si>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</si>
  <si>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</si>
  <si>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</si>
  <si>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</si>
  <si>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</si>
  <si>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</si>
  <si>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</si>
  <si>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</si>
  <si>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</si>
  <si>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</si>
  <si>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</si>
  <si>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</si>
  <si>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</si>
  <si>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</si>
  <si>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</si>
  <si>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</si>
  <si>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</si>
  <si>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</si>
  <si>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</si>
  <si>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</si>
  <si>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</si>
  <si>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</si>
  <si>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</si>
  <si>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</si>
  <si>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</si>
  <si>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</si>
  <si>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</si>
  <si>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</si>
  <si>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</si>
  <si>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</si>
  <si>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</si>
  <si>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</si>
  <si>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</si>
  <si>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</si>
  <si>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</si>
  <si>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</si>
  <si>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</si>
  <si>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</si>
  <si>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</si>
  <si>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</si>
  <si>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</si>
  <si>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</si>
  <si>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</si>
  <si>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</si>
  <si>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</si>
  <si>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</si>
  <si>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</si>
  <si>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</si>
  <si>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</si>
  <si>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Metric</t>
  </si>
  <si>
    <t>Target_Value</t>
  </si>
  <si>
    <t>Total Sales</t>
  </si>
  <si>
    <t>Total Profit</t>
  </si>
  <si>
    <t>Total Orders</t>
  </si>
  <si>
    <t>Row Labels</t>
  </si>
  <si>
    <t>Grand Total</t>
  </si>
  <si>
    <t>Sum of Sales</t>
  </si>
  <si>
    <t>Sum of Profit</t>
  </si>
  <si>
    <t>Company Sales Analytics Dashboard</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</si>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</sst>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2" fillId="2" borderId="0" xfId="0" applyFont="1" applyFill="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8" xfId="0" applyFont="1" applyFill="1" applyBorder="1" applyAlignment="1">
      <alignment horizontal="center" vertical="center"/>
    </xf>
    <xf numFmtId="0" fontId="0" fillId="0" borderId="0" xfId="0" applyFill="1"/>
    <xf numFmtId="14" fontId="0" fillId="0" borderId="0" xfId="0" applyNumberFormat="1"/>
    <xf numFmtId="3" fontId="1" fillId="4" borderId="7" xfId="0" applyNumberFormat="1" applyFont="1" applyFill="1" applyBorder="1" applyAlignment="1">
      <alignment horizontal="center" vertical="center"/>
    </xf>
    <xf numFmtId="3" fontId="1" fillId="4" borderId="0" xfId="0" applyNumberFormat="1" applyFont="1" applyFill="1" applyBorder="1" applyAlignment="1">
      <alignment horizontal="center" vertical="center"/>
    </xf>
    <xf numFmtId="3" fontId="1" fillId="4" borderId="8" xfId="0" applyNumberFormat="1" applyFont="1" applyFill="1" applyBorder="1" applyAlignment="1">
      <alignment horizontal="center" vertical="center"/>
    </xf>
    <xf numFmtId="3" fontId="1" fillId="4" borderId="4" xfId="0" applyNumberFormat="1" applyFont="1" applyFill="1" applyBorder="1" applyAlignment="1">
      <alignment horizontal="center" vertical="center"/>
    </xf>
    <xf numFmtId="3" fontId="1" fillId="4" borderId="5" xfId="0" applyNumberFormat="1" applyFont="1" applyFill="1" applyBorder="1" applyAlignment="1">
      <alignment horizontal="center" vertical="center"/>
    </xf>
    <xf numFmtId="3" fontId="1" fillId="4" borderId="6"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[day16_InteractiveDashboard.xlsx]Pivot Table!PivotTable1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Clothing</c:v>
                </c:pt>
                <c:pt idx="1">
                  <c:v>Electronics</c:v>
                </c:pt>
                <c:pt idx="2">
                  <c:v>Furniture</c:v>
                </c:pt>
              </c:strCache>
            </c:strRef>
          </c:cat>
          <c:val>
            <c:numRef>
              <c:f>'Pivot Table'!$B$4:$B$7</c:f>
              <c:numCache>
                <c:formatCode>General</c:formatCode>
                <c:ptCount val="3"/>
                <c:pt idx="0">
                  <c:v>351626</c:v>
                </c:pt>
                <c:pt idx="1">
                  <c:v>367530</c:v>
                </c:pt>
                <c:pt idx="2">
                  <c:v>401875</c:v>
                </c:pt>
              </c:numCache>
            </c:numRef>
          </c:val>
          <c:extLst>
            <c:ext xmlns:c16="http://schemas.microsoft.com/office/drawing/2014/chart" uri="{C3380CC4-5D6E-409C-BE32-E72D297353CC}">
              <c16:uniqueId val="{00000000-1DF1-4C92-8409-1601147A3AF5}"/>
            </c:ext>
          </c:extLst>
        </c:ser>
        <c:dLbls>
          <c:dLblPos val="outEnd"/>
          <c:showLegendKey val="0"/>
          <c:showVal val="1"/>
          <c:showCatName val="0"/>
          <c:showSerName val="0"/>
          <c:showPercent val="0"/>
          <c:showBubbleSize val="0"/>
        </c:dLbls>
        <c:gapWidth val="219"/>
        <c:overlap val="-27"/>
        <c:axId val="1262008672"/>
        <c:axId val="1261998112"/>
      </c:barChart>
      <c:catAx>
        <c:axId val="12620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998112"/>
        <c:crosses val="autoZero"/>
        <c:auto val="1"/>
        <c:lblAlgn val="ctr"/>
        <c:lblOffset val="100"/>
        <c:noMultiLvlLbl val="0"/>
      </c:catAx>
      <c:valAx>
        <c:axId val="1261998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0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[day16_InteractiveDashboard.xlsx]Pivot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Table'!$A$11:$A$16</c:f>
              <c:strCache>
                <c:ptCount val="5"/>
                <c:pt idx="0">
                  <c:v>Ahmedabad</c:v>
                </c:pt>
                <c:pt idx="1">
                  <c:v>Bangalore</c:v>
                </c:pt>
                <c:pt idx="2">
                  <c:v>Delhi</c:v>
                </c:pt>
                <c:pt idx="3">
                  <c:v>Mumbai</c:v>
                </c:pt>
                <c:pt idx="4">
                  <c:v>Pune</c:v>
                </c:pt>
              </c:strCache>
            </c:strRef>
          </c:cat>
          <c:val>
            <c:numRef>
              <c:f>'Pivot Table'!$B$11:$B$16</c:f>
              <c:numCache>
                <c:formatCode>General</c:formatCode>
                <c:ptCount val="5"/>
                <c:pt idx="0">
                  <c:v>55828</c:v>
                </c:pt>
                <c:pt idx="1">
                  <c:v>41565</c:v>
                </c:pt>
                <c:pt idx="2">
                  <c:v>53956</c:v>
                </c:pt>
                <c:pt idx="3">
                  <c:v>53466</c:v>
                </c:pt>
                <c:pt idx="4">
                  <c:v>36241</c:v>
                </c:pt>
              </c:numCache>
            </c:numRef>
          </c:val>
          <c:extLst>
            <c:ext xmlns:c16="http://schemas.microsoft.com/office/drawing/2014/chart" uri="{C3380CC4-5D6E-409C-BE32-E72D297353CC}">
              <c16:uniqueId val="{00000000-A2AF-4082-A2A3-E1D3934095F9}"/>
            </c:ext>
          </c:extLst>
        </c:ser>
        <c:dLbls>
          <c:dLblPos val="outEnd"/>
          <c:showLegendKey val="0"/>
          <c:showVal val="1"/>
          <c:showCatName val="0"/>
          <c:showSerName val="0"/>
          <c:showPercent val="0"/>
          <c:showBubbleSize val="0"/>
        </c:dLbls>
        <c:gapWidth val="219"/>
        <c:overlap val="-27"/>
        <c:axId val="1262006272"/>
        <c:axId val="1262001952"/>
      </c:barChart>
      <c:catAx>
        <c:axId val="126200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01952"/>
        <c:crosses val="autoZero"/>
        <c:auto val="1"/>
        <c:lblAlgn val="ctr"/>
        <c:lblOffset val="100"/>
        <c:noMultiLvlLbl val="0"/>
      </c:catAx>
      <c:valAx>
        <c:axId val="1262001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[day16_InteractiveDashboard.xlsx]Pivot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Table'!$A$19:$A$24</c:f>
              <c:strCache>
                <c:ptCount val="5"/>
                <c:pt idx="0">
                  <c:v>Jan</c:v>
                </c:pt>
                <c:pt idx="1">
                  <c:v>Feb</c:v>
                </c:pt>
                <c:pt idx="2">
                  <c:v>Mar</c:v>
                </c:pt>
                <c:pt idx="3">
                  <c:v>Apr</c:v>
                </c:pt>
                <c:pt idx="4">
                  <c:v>May</c:v>
                </c:pt>
              </c:strCache>
            </c:strRef>
          </c:cat>
          <c:val>
            <c:numRef>
              <c:f>'Pivot Table'!$B$19:$B$24</c:f>
              <c:numCache>
                <c:formatCode>General</c:formatCode>
                <c:ptCount val="5"/>
                <c:pt idx="0">
                  <c:v>350120</c:v>
                </c:pt>
                <c:pt idx="1">
                  <c:v>196007</c:v>
                </c:pt>
                <c:pt idx="2">
                  <c:v>332900</c:v>
                </c:pt>
                <c:pt idx="3">
                  <c:v>226259</c:v>
                </c:pt>
                <c:pt idx="4">
                  <c:v>15745</c:v>
                </c:pt>
              </c:numCache>
            </c:numRef>
          </c:val>
          <c:smooth val="0"/>
          <c:extLst>
            <c:ext xmlns:c16="http://schemas.microsoft.com/office/drawing/2014/chart" uri="{C3380CC4-5D6E-409C-BE32-E72D297353CC}">
              <c16:uniqueId val="{00000000-9CBB-4F0B-A9D4-3D90D1269733}"/>
            </c:ext>
          </c:extLst>
        </c:ser>
        <c:dLbls>
          <c:showLegendKey val="0"/>
          <c:showVal val="0"/>
          <c:showCatName val="0"/>
          <c:showSerName val="0"/>
          <c:showPercent val="0"/>
          <c:showBubbleSize val="0"/>
        </c:dLbls>
        <c:smooth val="0"/>
        <c:axId val="1494007936"/>
        <c:axId val="1493994016"/>
      </c:lineChart>
      <c:catAx>
        <c:axId val="14940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94016"/>
        <c:crosses val="autoZero"/>
        <c:auto val="1"/>
        <c:lblAlgn val="ctr"/>
        <c:lblOffset val="100"/>
        <c:noMultiLvlLbl val="0"/>
      </c:catAx>
      <c:valAx>
        <c:axId val="149399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00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601980</xdr:colOff>
      <xdr:row>23</xdr:row>
      <xdr:rowOff>0</xdr:rowOff>
    </xdr:to>
    <xdr:graphicFrame macro="">
      <xdr:nvGraphicFramePr>
        <xdr:cNvPr id="12" name="Chart 11">
          <a:extLst>
            <a:ext uri="{FF2B5EF4-FFF2-40B4-BE49-F238E27FC236}">
              <a16:creationId xmlns:a16="http://schemas.microsoft.com/office/drawing/2014/main" id="{1B2D5FE3-7185-429C-8382-F07E49042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15</xdr:col>
      <xdr:colOff>0</xdr:colOff>
      <xdr:row>23</xdr:row>
      <xdr:rowOff>0</xdr:rowOff>
    </xdr:to>
    <xdr:graphicFrame macro="">
      <xdr:nvGraphicFramePr>
        <xdr:cNvPr id="13" name="Chart 12">
          <a:extLst>
            <a:ext uri="{FF2B5EF4-FFF2-40B4-BE49-F238E27FC236}">
              <a16:creationId xmlns:a16="http://schemas.microsoft.com/office/drawing/2014/main" id="{DC71F08A-1F25-4456-960C-70FF17E3B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14</xdr:col>
      <xdr:colOff>601980</xdr:colOff>
      <xdr:row>39</xdr:row>
      <xdr:rowOff>0</xdr:rowOff>
    </xdr:to>
    <xdr:graphicFrame macro="">
      <xdr:nvGraphicFramePr>
        <xdr:cNvPr id="14" name="Chart 13">
          <a:extLst>
            <a:ext uri="{FF2B5EF4-FFF2-40B4-BE49-F238E27FC236}">
              <a16:creationId xmlns:a16="http://schemas.microsoft.com/office/drawing/2014/main" id="{5B0E24A9-D9A1-452F-A233-C2977A9E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40</xdr:row>
      <xdr:rowOff>0</xdr:rowOff>
    </xdr:from>
    <xdr:to>
      <xdr:col>12</xdr:col>
      <xdr:colOff>601980</xdr:colOff>
      <xdr:row>49</xdr:row>
      <xdr:rowOff>175260</xdr:rowOff>
    </xdr:to>
    <mc:AlternateContent xmlns:mc="http://schemas.openxmlformats.org/markup-compatibility/2006">
      <mc:Choice xmlns:a14="http://schemas.microsoft.com/office/drawing/2010/main" Requires="a14">
        <xdr:graphicFrame macro="">
          <xdr:nvGraphicFramePr>
            <xdr:cNvPr id="18" name="City">
              <a:extLst>
                <a:ext uri="{FF2B5EF4-FFF2-40B4-BE49-F238E27FC236}">
                  <a16:creationId xmlns:a16="http://schemas.microsoft.com/office/drawing/2014/main" id="{3FF7650E-9A64-43FB-A54D-4F4CD0D4134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486400" y="7399020"/>
              <a:ext cx="243078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40</xdr:row>
      <xdr:rowOff>0</xdr:rowOff>
    </xdr:from>
    <xdr:to>
      <xdr:col>7</xdr:col>
      <xdr:colOff>0</xdr:colOff>
      <xdr:row>50</xdr:row>
      <xdr:rowOff>22859</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1D8BA217-F2FD-4C53-874C-95ADE8A07C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4040" y="7399020"/>
              <a:ext cx="2423160" cy="1851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7.501357754627" createdVersion="8" refreshedVersion="8" minRefreshableVersion="3" recordCount="100" xr:uid="{E64DB4B1-00C9-46B0-936D-B83CD09E0DB1}">
  <cacheSource type="worksheet">
    <worksheetSource name="SalesTable"/>
  </cacheSource>
  <cacheFields count="9">
    <cacheField name="Order_ID" numFmtId="0">
      <sharedItems/>
    </cacheField>
    <cacheField name="Date" numFmtId="14">
      <sharedItems containsSemiMixedTypes="0" containsNonDate="0" containsDate="1" containsString="0" minDate="2026-01-01T00:00:00" maxDate="2026-05-02T00:00:00" count="64">
        <d v="2026-03-03T00:00:00"/>
        <d v="2026-01-25T00:00:00"/>
        <d v="2026-03-29T00:00:00"/>
        <d v="2026-03-06T00:00:00"/>
        <d v="2026-01-17T00:00:00"/>
        <d v="2026-03-07T00:00:00"/>
        <d v="2026-01-24T00:00:00"/>
        <d v="2026-04-02T00:00:00"/>
        <d v="2026-04-08T00:00:00"/>
        <d v="2026-03-10T00:00:00"/>
        <d v="2026-01-06T00:00:00"/>
        <d v="2026-01-02T00:00:00"/>
        <d v="2026-04-27T00:00:00"/>
        <d v="2026-01-18T00:00:00"/>
        <d v="2026-04-07T00:00:00"/>
        <d v="2026-03-05T00:00:00"/>
        <d v="2026-02-19T00:00:00"/>
        <d v="2026-02-08T00:00:00"/>
        <d v="2026-02-16T00:00:00"/>
        <d v="2026-01-10T00:00:00"/>
        <d v="2026-03-27T00:00:00"/>
        <d v="2026-02-04T00:00:00"/>
        <d v="2026-04-03T00:00:00"/>
        <d v="2026-04-16T00:00:00"/>
        <d v="2026-04-05T00:00:00"/>
        <d v="2026-01-01T00:00:00"/>
        <d v="2026-03-26T00:00:00"/>
        <d v="2026-02-01T00:00:00"/>
        <d v="2026-02-14T00:00:00"/>
        <d v="2026-03-09T00:00:00"/>
        <d v="2026-03-22T00:00:00"/>
        <d v="2026-02-10T00:00:00"/>
        <d v="2026-01-19T00:00:00"/>
        <d v="2026-03-02T00:00:00"/>
        <d v="2026-01-04T00:00:00"/>
        <d v="2026-01-30T00:00:00"/>
        <d v="2026-03-21T00:00:00"/>
        <d v="2026-04-09T00:00:00"/>
        <d v="2026-02-12T00:00:00"/>
        <d v="2026-04-24T00:00:00"/>
        <d v="2026-01-07T00:00:00"/>
        <d v="2026-03-30T00:00:00"/>
        <d v="2026-03-12T00:00:00"/>
        <d v="2026-04-17T00:00:00"/>
        <d v="2026-04-12T00:00:00"/>
        <d v="2026-02-27T00:00:00"/>
        <d v="2026-01-13T00:00:00"/>
        <d v="2026-02-02T00:00:00"/>
        <d v="2026-03-04T00:00:00"/>
        <d v="2026-01-23T00:00:00"/>
        <d v="2026-03-20T00:00:00"/>
        <d v="2026-01-27T00:00:00"/>
        <d v="2026-04-23T00:00:00"/>
        <d v="2026-03-13T00:00:00"/>
        <d v="2026-03-31T00:00:00"/>
        <d v="2026-01-20T00:00:00"/>
        <d v="2026-02-20T00:00:00"/>
        <d v="2026-03-24T00:00:00"/>
        <d v="2026-02-11T00:00:00"/>
        <d v="2026-04-20T00:00:00"/>
        <d v="2026-05-01T00:00:00"/>
        <d v="2026-03-19T00:00:00"/>
        <d v="2026-02-26T00:00:00"/>
        <d v="2026-02-22T00:00:00"/>
      </sharedItems>
      <fieldGroup par="8"/>
    </cacheField>
    <cacheField name="Category" numFmtId="0">
      <sharedItems count="3">
        <s v="Furniture"/>
        <s v="Electronics"/>
        <s v="Clothing"/>
      </sharedItems>
    </cacheField>
    <cacheField name="Product" numFmtId="0">
      <sharedItems/>
    </cacheField>
    <cacheField name="City" numFmtId="0">
      <sharedItems count="5">
        <s v="Bangalore"/>
        <s v="Pune"/>
        <s v="Delhi"/>
        <s v="Ahmedabad"/>
        <s v="Mumbai"/>
      </sharedItems>
    </cacheField>
    <cacheField name="Sales" numFmtId="0">
      <sharedItems containsSemiMixedTypes="0" containsString="0" containsNumber="1" containsInteger="1" minValue="1615" maxValue="19546"/>
    </cacheField>
    <cacheField name="Profit" numFmtId="0">
      <sharedItems containsSemiMixedTypes="0" containsString="0" containsNumber="1" containsInteger="1" minValue="108" maxValue="4989"/>
    </cacheField>
    <cacheField name="Quantity" numFmtId="0">
      <sharedItems containsSemiMixedTypes="0" containsString="0" containsNumber="1" containsInteger="1" minValue="1" maxValue="10"/>
    </cacheField>
    <cacheField name="Months (Date)" numFmtId="0" databaseField="0">
      <fieldGroup base="1">
        <rangePr groupBy="months" startDate="2026-01-01T00:00:00" endDate="2026-05-02T00:00:00"/>
        <groupItems count="14">
          <s v="&lt;01-01-2026"/>
          <s v="Jan"/>
          <s v="Feb"/>
          <s v="Mar"/>
          <s v="Apr"/>
          <s v="May"/>
          <s v="Jun"/>
          <s v="Jul"/>
          <s v="Aug"/>
          <s v="Sep"/>
          <s v="Oct"/>
          <s v="Nov"/>
          <s v="Dec"/>
          <s v="&gt;02-05-2026"/>
        </groupItems>
      </fieldGroup>
    </cacheField>
  </cacheFields>
  <extLst>
    <ext xmlns:x14="http://schemas.microsoft.com/office/spreadsheetml/2009/9/main" uri="{725AE2AE-9491-48be-B2B4-4EB974FC3084}">
      <x14:pivotCacheDefinition pivotCacheId="451025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s v="Table"/>
    <x v="0"/>
    <n v="4924"/>
    <n v="1157"/>
    <n v="7"/>
  </r>
  <r>
    <s v="ORD002"/>
    <x v="1"/>
    <x v="0"/>
    <s v="Desk"/>
    <x v="1"/>
    <n v="7173"/>
    <n v="4511"/>
    <n v="10"/>
  </r>
  <r>
    <s v="ORD003"/>
    <x v="2"/>
    <x v="0"/>
    <s v="Sofa"/>
    <x v="2"/>
    <n v="3669"/>
    <n v="2388"/>
    <n v="1"/>
  </r>
  <r>
    <s v="ORD004"/>
    <x v="3"/>
    <x v="1"/>
    <s v="Keyboard"/>
    <x v="2"/>
    <n v="3602"/>
    <n v="1181"/>
    <n v="7"/>
  </r>
  <r>
    <s v="ORD005"/>
    <x v="4"/>
    <x v="0"/>
    <s v="Sofa"/>
    <x v="2"/>
    <n v="13202"/>
    <n v="3179"/>
    <n v="3"/>
  </r>
  <r>
    <s v="ORD006"/>
    <x v="5"/>
    <x v="1"/>
    <s v="Monitor"/>
    <x v="1"/>
    <n v="6994"/>
    <n v="1753"/>
    <n v="10"/>
  </r>
  <r>
    <s v="ORD007"/>
    <x v="6"/>
    <x v="1"/>
    <s v="Monitor"/>
    <x v="2"/>
    <n v="18932"/>
    <n v="950"/>
    <n v="2"/>
  </r>
  <r>
    <s v="ORD008"/>
    <x v="7"/>
    <x v="1"/>
    <s v="Mouse"/>
    <x v="1"/>
    <n v="12640"/>
    <n v="570"/>
    <n v="3"/>
  </r>
  <r>
    <s v="ORD009"/>
    <x v="8"/>
    <x v="1"/>
    <s v="Mouse"/>
    <x v="2"/>
    <n v="6663"/>
    <n v="3436"/>
    <n v="7"/>
  </r>
  <r>
    <s v="ORD010"/>
    <x v="9"/>
    <x v="0"/>
    <s v="Desk"/>
    <x v="2"/>
    <n v="14264"/>
    <n v="1845"/>
    <n v="3"/>
  </r>
  <r>
    <s v="ORD011"/>
    <x v="10"/>
    <x v="1"/>
    <s v="Laptop"/>
    <x v="2"/>
    <n v="9271"/>
    <n v="2502"/>
    <n v="4"/>
  </r>
  <r>
    <s v="ORD012"/>
    <x v="11"/>
    <x v="0"/>
    <s v="Desk"/>
    <x v="3"/>
    <n v="4550"/>
    <n v="2200"/>
    <n v="8"/>
  </r>
  <r>
    <s v="ORD013"/>
    <x v="12"/>
    <x v="2"/>
    <s v="Jeans"/>
    <x v="2"/>
    <n v="10197"/>
    <n v="1015"/>
    <n v="1"/>
  </r>
  <r>
    <s v="ORD014"/>
    <x v="13"/>
    <x v="2"/>
    <s v="Shoes"/>
    <x v="4"/>
    <n v="3763"/>
    <n v="3131"/>
    <n v="4"/>
  </r>
  <r>
    <s v="ORD015"/>
    <x v="8"/>
    <x v="2"/>
    <s v="Shoes"/>
    <x v="2"/>
    <n v="12844"/>
    <n v="1873"/>
    <n v="1"/>
  </r>
  <r>
    <s v="ORD016"/>
    <x v="2"/>
    <x v="2"/>
    <s v="T-Shirt"/>
    <x v="0"/>
    <n v="2897"/>
    <n v="2782"/>
    <n v="9"/>
  </r>
  <r>
    <s v="ORD017"/>
    <x v="14"/>
    <x v="2"/>
    <s v="Shoes"/>
    <x v="1"/>
    <n v="9947"/>
    <n v="1950"/>
    <n v="5"/>
  </r>
  <r>
    <s v="ORD018"/>
    <x v="9"/>
    <x v="0"/>
    <s v="Desk"/>
    <x v="0"/>
    <n v="17610"/>
    <n v="4642"/>
    <n v="9"/>
  </r>
  <r>
    <s v="ORD019"/>
    <x v="4"/>
    <x v="0"/>
    <s v="Sofa"/>
    <x v="2"/>
    <n v="12885"/>
    <n v="2514"/>
    <n v="6"/>
  </r>
  <r>
    <s v="ORD020"/>
    <x v="15"/>
    <x v="0"/>
    <s v="Desk"/>
    <x v="1"/>
    <n v="10463"/>
    <n v="665"/>
    <n v="2"/>
  </r>
  <r>
    <s v="ORD021"/>
    <x v="16"/>
    <x v="1"/>
    <s v="Laptop"/>
    <x v="1"/>
    <n v="15715"/>
    <n v="2098"/>
    <n v="3"/>
  </r>
  <r>
    <s v="ORD022"/>
    <x v="17"/>
    <x v="2"/>
    <s v="Shoes"/>
    <x v="3"/>
    <n v="13625"/>
    <n v="4137"/>
    <n v="2"/>
  </r>
  <r>
    <s v="ORD023"/>
    <x v="18"/>
    <x v="2"/>
    <s v="T-Shirt"/>
    <x v="2"/>
    <n v="2205"/>
    <n v="2265"/>
    <n v="6"/>
  </r>
  <r>
    <s v="ORD024"/>
    <x v="19"/>
    <x v="1"/>
    <s v="Keyboard"/>
    <x v="1"/>
    <n v="9599"/>
    <n v="4504"/>
    <n v="5"/>
  </r>
  <r>
    <s v="ORD025"/>
    <x v="20"/>
    <x v="0"/>
    <s v="Table"/>
    <x v="3"/>
    <n v="10622"/>
    <n v="1664"/>
    <n v="9"/>
  </r>
  <r>
    <s v="ORD026"/>
    <x v="21"/>
    <x v="1"/>
    <s v="Mouse"/>
    <x v="1"/>
    <n v="17605"/>
    <n v="425"/>
    <n v="1"/>
  </r>
  <r>
    <s v="ORD027"/>
    <x v="22"/>
    <x v="0"/>
    <s v="Sofa"/>
    <x v="3"/>
    <n v="9189"/>
    <n v="1188"/>
    <n v="9"/>
  </r>
  <r>
    <s v="ORD028"/>
    <x v="15"/>
    <x v="1"/>
    <s v="Monitor"/>
    <x v="0"/>
    <n v="3798"/>
    <n v="391"/>
    <n v="4"/>
  </r>
  <r>
    <s v="ORD029"/>
    <x v="23"/>
    <x v="2"/>
    <s v="Jeans"/>
    <x v="2"/>
    <n v="12507"/>
    <n v="390"/>
    <n v="5"/>
  </r>
  <r>
    <s v="ORD030"/>
    <x v="24"/>
    <x v="0"/>
    <s v="Table"/>
    <x v="1"/>
    <n v="7811"/>
    <n v="1263"/>
    <n v="6"/>
  </r>
  <r>
    <s v="ORD031"/>
    <x v="17"/>
    <x v="1"/>
    <s v="Monitor"/>
    <x v="3"/>
    <n v="7186"/>
    <n v="2936"/>
    <n v="3"/>
  </r>
  <r>
    <s v="ORD032"/>
    <x v="25"/>
    <x v="0"/>
    <s v="Chair"/>
    <x v="0"/>
    <n v="15995"/>
    <n v="235"/>
    <n v="5"/>
  </r>
  <r>
    <s v="ORD033"/>
    <x v="26"/>
    <x v="1"/>
    <s v="Monitor"/>
    <x v="2"/>
    <n v="4981"/>
    <n v="3224"/>
    <n v="6"/>
  </r>
  <r>
    <s v="ORD034"/>
    <x v="27"/>
    <x v="0"/>
    <s v="Desk"/>
    <x v="3"/>
    <n v="17735"/>
    <n v="4467"/>
    <n v="8"/>
  </r>
  <r>
    <s v="ORD035"/>
    <x v="28"/>
    <x v="0"/>
    <s v="Chair"/>
    <x v="2"/>
    <n v="16866"/>
    <n v="3894"/>
    <n v="10"/>
  </r>
  <r>
    <s v="ORD036"/>
    <x v="29"/>
    <x v="2"/>
    <s v="T-Shirt"/>
    <x v="0"/>
    <n v="10935"/>
    <n v="1550"/>
    <n v="9"/>
  </r>
  <r>
    <s v="ORD037"/>
    <x v="30"/>
    <x v="0"/>
    <s v="Sofa"/>
    <x v="1"/>
    <n v="10659"/>
    <n v="4425"/>
    <n v="1"/>
  </r>
  <r>
    <s v="ORD038"/>
    <x v="31"/>
    <x v="2"/>
    <s v="Shoes"/>
    <x v="4"/>
    <n v="8904"/>
    <n v="2993"/>
    <n v="7"/>
  </r>
  <r>
    <s v="ORD039"/>
    <x v="32"/>
    <x v="2"/>
    <s v="Jeans"/>
    <x v="4"/>
    <n v="18161"/>
    <n v="2502"/>
    <n v="6"/>
  </r>
  <r>
    <s v="ORD040"/>
    <x v="33"/>
    <x v="1"/>
    <s v="Laptop"/>
    <x v="4"/>
    <n v="9813"/>
    <n v="2224"/>
    <n v="1"/>
  </r>
  <r>
    <s v="ORD041"/>
    <x v="29"/>
    <x v="1"/>
    <s v="Laptop"/>
    <x v="0"/>
    <n v="1857"/>
    <n v="2851"/>
    <n v="4"/>
  </r>
  <r>
    <s v="ORD042"/>
    <x v="34"/>
    <x v="1"/>
    <s v="Keyboard"/>
    <x v="0"/>
    <n v="8901"/>
    <n v="3362"/>
    <n v="4"/>
  </r>
  <r>
    <s v="ORD043"/>
    <x v="32"/>
    <x v="2"/>
    <s v="Jacket"/>
    <x v="2"/>
    <n v="14248"/>
    <n v="4338"/>
    <n v="3"/>
  </r>
  <r>
    <s v="ORD044"/>
    <x v="35"/>
    <x v="0"/>
    <s v="Table"/>
    <x v="2"/>
    <n v="6982"/>
    <n v="4562"/>
    <n v="4"/>
  </r>
  <r>
    <s v="ORD045"/>
    <x v="26"/>
    <x v="0"/>
    <s v="Sofa"/>
    <x v="3"/>
    <n v="1798"/>
    <n v="327"/>
    <n v="3"/>
  </r>
  <r>
    <s v="ORD046"/>
    <x v="36"/>
    <x v="2"/>
    <s v="Jeans"/>
    <x v="4"/>
    <n v="10577"/>
    <n v="692"/>
    <n v="10"/>
  </r>
  <r>
    <s v="ORD047"/>
    <x v="37"/>
    <x v="1"/>
    <s v="Monitor"/>
    <x v="3"/>
    <n v="17888"/>
    <n v="2664"/>
    <n v="8"/>
  </r>
  <r>
    <s v="ORD048"/>
    <x v="10"/>
    <x v="2"/>
    <s v="Jacket"/>
    <x v="3"/>
    <n v="4371"/>
    <n v="3740"/>
    <n v="5"/>
  </r>
  <r>
    <s v="ORD049"/>
    <x v="38"/>
    <x v="1"/>
    <s v="Mouse"/>
    <x v="0"/>
    <n v="13021"/>
    <n v="4989"/>
    <n v="7"/>
  </r>
  <r>
    <s v="ORD050"/>
    <x v="39"/>
    <x v="2"/>
    <s v="T-Shirt"/>
    <x v="3"/>
    <n v="17907"/>
    <n v="3137"/>
    <n v="9"/>
  </r>
  <r>
    <s v="ORD051"/>
    <x v="40"/>
    <x v="2"/>
    <s v="Jacket"/>
    <x v="0"/>
    <n v="9879"/>
    <n v="2726"/>
    <n v="1"/>
  </r>
  <r>
    <s v="ORD052"/>
    <x v="41"/>
    <x v="1"/>
    <s v="Keyboard"/>
    <x v="3"/>
    <n v="18097"/>
    <n v="2885"/>
    <n v="10"/>
  </r>
  <r>
    <s v="ORD053"/>
    <x v="42"/>
    <x v="0"/>
    <s v="Sofa"/>
    <x v="3"/>
    <n v="14673"/>
    <n v="705"/>
    <n v="1"/>
  </r>
  <r>
    <s v="ORD054"/>
    <x v="43"/>
    <x v="0"/>
    <s v="Chair"/>
    <x v="2"/>
    <n v="8712"/>
    <n v="408"/>
    <n v="1"/>
  </r>
  <r>
    <s v="ORD055"/>
    <x v="4"/>
    <x v="0"/>
    <s v="Desk"/>
    <x v="3"/>
    <n v="17607"/>
    <n v="1762"/>
    <n v="8"/>
  </r>
  <r>
    <s v="ORD056"/>
    <x v="44"/>
    <x v="0"/>
    <s v="Chair"/>
    <x v="4"/>
    <n v="3250"/>
    <n v="1175"/>
    <n v="6"/>
  </r>
  <r>
    <s v="ORD057"/>
    <x v="34"/>
    <x v="2"/>
    <s v="T-Shirt"/>
    <x v="3"/>
    <n v="15852"/>
    <n v="1366"/>
    <n v="3"/>
  </r>
  <r>
    <s v="ORD058"/>
    <x v="45"/>
    <x v="1"/>
    <s v="Keyboard"/>
    <x v="1"/>
    <n v="17060"/>
    <n v="2600"/>
    <n v="2"/>
  </r>
  <r>
    <s v="ORD059"/>
    <x v="46"/>
    <x v="0"/>
    <s v="Chair"/>
    <x v="4"/>
    <n v="9586"/>
    <n v="1454"/>
    <n v="5"/>
  </r>
  <r>
    <s v="ORD060"/>
    <x v="47"/>
    <x v="2"/>
    <s v="Jacket"/>
    <x v="0"/>
    <n v="18209"/>
    <n v="484"/>
    <n v="6"/>
  </r>
  <r>
    <s v="ORD061"/>
    <x v="48"/>
    <x v="0"/>
    <s v="Sofa"/>
    <x v="4"/>
    <n v="15006"/>
    <n v="3535"/>
    <n v="3"/>
  </r>
  <r>
    <s v="ORD062"/>
    <x v="44"/>
    <x v="0"/>
    <s v="Table"/>
    <x v="3"/>
    <n v="6990"/>
    <n v="2010"/>
    <n v="6"/>
  </r>
  <r>
    <s v="ORD063"/>
    <x v="49"/>
    <x v="0"/>
    <s v="Sofa"/>
    <x v="0"/>
    <n v="17779"/>
    <n v="4670"/>
    <n v="2"/>
  </r>
  <r>
    <s v="ORD064"/>
    <x v="50"/>
    <x v="2"/>
    <s v="Jacket"/>
    <x v="1"/>
    <n v="13849"/>
    <n v="1599"/>
    <n v="10"/>
  </r>
  <r>
    <s v="ORD065"/>
    <x v="7"/>
    <x v="1"/>
    <s v="Keyboard"/>
    <x v="3"/>
    <n v="16461"/>
    <n v="4725"/>
    <n v="2"/>
  </r>
  <r>
    <s v="ORD066"/>
    <x v="8"/>
    <x v="2"/>
    <s v="Jacket"/>
    <x v="1"/>
    <n v="5354"/>
    <n v="2021"/>
    <n v="9"/>
  </r>
  <r>
    <s v="ORD067"/>
    <x v="34"/>
    <x v="1"/>
    <s v="Laptop"/>
    <x v="4"/>
    <n v="3758"/>
    <n v="2205"/>
    <n v="8"/>
  </r>
  <r>
    <s v="ORD068"/>
    <x v="36"/>
    <x v="2"/>
    <s v="T-Shirt"/>
    <x v="2"/>
    <n v="15155"/>
    <n v="1746"/>
    <n v="6"/>
  </r>
  <r>
    <s v="ORD069"/>
    <x v="35"/>
    <x v="1"/>
    <s v="Keyboard"/>
    <x v="0"/>
    <n v="2344"/>
    <n v="426"/>
    <n v="5"/>
  </r>
  <r>
    <s v="ORD070"/>
    <x v="25"/>
    <x v="2"/>
    <s v="Jeans"/>
    <x v="3"/>
    <n v="18736"/>
    <n v="2778"/>
    <n v="2"/>
  </r>
  <r>
    <s v="ORD071"/>
    <x v="51"/>
    <x v="1"/>
    <s v="Monitor"/>
    <x v="3"/>
    <n v="15233"/>
    <n v="3831"/>
    <n v="4"/>
  </r>
  <r>
    <s v="ORD072"/>
    <x v="26"/>
    <x v="1"/>
    <s v="Monitor"/>
    <x v="3"/>
    <n v="19546"/>
    <n v="1786"/>
    <n v="1"/>
  </r>
  <r>
    <s v="ORD073"/>
    <x v="52"/>
    <x v="2"/>
    <s v="Jeans"/>
    <x v="3"/>
    <n v="17675"/>
    <n v="4795"/>
    <n v="1"/>
  </r>
  <r>
    <s v="ORD074"/>
    <x v="53"/>
    <x v="2"/>
    <s v="Jacket"/>
    <x v="2"/>
    <n v="12403"/>
    <n v="4668"/>
    <n v="5"/>
  </r>
  <r>
    <s v="ORD075"/>
    <x v="42"/>
    <x v="0"/>
    <s v="Chair"/>
    <x v="4"/>
    <n v="9512"/>
    <n v="108"/>
    <n v="2"/>
  </r>
  <r>
    <s v="ORD076"/>
    <x v="5"/>
    <x v="1"/>
    <s v="Mouse"/>
    <x v="4"/>
    <n v="15874"/>
    <n v="3290"/>
    <n v="2"/>
  </r>
  <r>
    <s v="ORD077"/>
    <x v="54"/>
    <x v="0"/>
    <s v="Table"/>
    <x v="1"/>
    <n v="13889"/>
    <n v="1406"/>
    <n v="5"/>
  </r>
  <r>
    <s v="ORD078"/>
    <x v="3"/>
    <x v="1"/>
    <s v="Mouse"/>
    <x v="1"/>
    <n v="18293"/>
    <n v="2422"/>
    <n v="1"/>
  </r>
  <r>
    <s v="ORD079"/>
    <x v="18"/>
    <x v="0"/>
    <s v="Table"/>
    <x v="4"/>
    <n v="9925"/>
    <n v="2064"/>
    <n v="5"/>
  </r>
  <r>
    <s v="ORD080"/>
    <x v="55"/>
    <x v="1"/>
    <s v="Laptop"/>
    <x v="4"/>
    <n v="2943"/>
    <n v="2927"/>
    <n v="7"/>
  </r>
  <r>
    <s v="ORD081"/>
    <x v="35"/>
    <x v="1"/>
    <s v="Laptop"/>
    <x v="0"/>
    <n v="16338"/>
    <n v="4647"/>
    <n v="4"/>
  </r>
  <r>
    <s v="ORD082"/>
    <x v="0"/>
    <x v="1"/>
    <s v="Keyboard"/>
    <x v="4"/>
    <n v="17108"/>
    <n v="553"/>
    <n v="9"/>
  </r>
  <r>
    <s v="ORD083"/>
    <x v="46"/>
    <x v="2"/>
    <s v="Jeans"/>
    <x v="0"/>
    <n v="12730"/>
    <n v="2530"/>
    <n v="7"/>
  </r>
  <r>
    <s v="ORD084"/>
    <x v="56"/>
    <x v="0"/>
    <s v="Table"/>
    <x v="3"/>
    <n v="17809"/>
    <n v="1407"/>
    <n v="10"/>
  </r>
  <r>
    <s v="ORD085"/>
    <x v="11"/>
    <x v="2"/>
    <s v="Jeans"/>
    <x v="4"/>
    <n v="9762"/>
    <n v="3936"/>
    <n v="9"/>
  </r>
  <r>
    <s v="ORD086"/>
    <x v="51"/>
    <x v="0"/>
    <s v="Table"/>
    <x v="4"/>
    <n v="17577"/>
    <n v="2016"/>
    <n v="7"/>
  </r>
  <r>
    <s v="ORD087"/>
    <x v="57"/>
    <x v="1"/>
    <s v="Monitor"/>
    <x v="1"/>
    <n v="4092"/>
    <n v="1025"/>
    <n v="6"/>
  </r>
  <r>
    <s v="ORD088"/>
    <x v="58"/>
    <x v="0"/>
    <s v="Desk"/>
    <x v="1"/>
    <n v="2091"/>
    <n v="3004"/>
    <n v="7"/>
  </r>
  <r>
    <s v="ORD089"/>
    <x v="53"/>
    <x v="2"/>
    <s v="Jacket"/>
    <x v="4"/>
    <n v="8906"/>
    <n v="3625"/>
    <n v="9"/>
  </r>
  <r>
    <s v="ORD090"/>
    <x v="59"/>
    <x v="2"/>
    <s v="Shoes"/>
    <x v="2"/>
    <n v="18969"/>
    <n v="3751"/>
    <n v="5"/>
  </r>
  <r>
    <s v="ORD091"/>
    <x v="10"/>
    <x v="1"/>
    <s v="Monitor"/>
    <x v="2"/>
    <n v="17834"/>
    <n v="2244"/>
    <n v="1"/>
  </r>
  <r>
    <s v="ORD092"/>
    <x v="60"/>
    <x v="2"/>
    <s v="Jeans"/>
    <x v="4"/>
    <n v="15745"/>
    <n v="4132"/>
    <n v="2"/>
  </r>
  <r>
    <s v="ORD093"/>
    <x v="61"/>
    <x v="0"/>
    <s v="Table"/>
    <x v="4"/>
    <n v="7034"/>
    <n v="4847"/>
    <n v="1"/>
  </r>
  <r>
    <s v="ORD094"/>
    <x v="37"/>
    <x v="0"/>
    <s v="Desk"/>
    <x v="0"/>
    <n v="10307"/>
    <n v="4123"/>
    <n v="3"/>
  </r>
  <r>
    <s v="ORD095"/>
    <x v="62"/>
    <x v="0"/>
    <s v="Chair"/>
    <x v="3"/>
    <n v="14398"/>
    <n v="695"/>
    <n v="7"/>
  </r>
  <r>
    <s v="ORD096"/>
    <x v="23"/>
    <x v="0"/>
    <s v="Table"/>
    <x v="4"/>
    <n v="19333"/>
    <n v="2587"/>
    <n v="1"/>
  </r>
  <r>
    <s v="ORD097"/>
    <x v="6"/>
    <x v="1"/>
    <s v="Mouse"/>
    <x v="2"/>
    <n v="10430"/>
    <n v="1583"/>
    <n v="3"/>
  </r>
  <r>
    <s v="ORD098"/>
    <x v="63"/>
    <x v="1"/>
    <s v="Mouse"/>
    <x v="4"/>
    <n v="3653"/>
    <n v="983"/>
    <n v="5"/>
  </r>
  <r>
    <s v="ORD099"/>
    <x v="12"/>
    <x v="2"/>
    <s v="Shoes"/>
    <x v="3"/>
    <n v="1615"/>
    <n v="623"/>
    <n v="6"/>
  </r>
  <r>
    <s v="ORD100"/>
    <x v="10"/>
    <x v="2"/>
    <s v="Shoes"/>
    <x v="4"/>
    <n v="3699"/>
    <n v="2487"/>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42F7EE-EED8-42C2-8BFD-9BABB5CEEDB0}"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4" firstHeaderRow="1" firstDataRow="1" firstDataCol="1"/>
  <pivotFields count="9">
    <pivotField showAll="0"/>
    <pivotField showAll="0">
      <items count="65">
        <item x="25"/>
        <item x="11"/>
        <item x="34"/>
        <item x="10"/>
        <item x="40"/>
        <item x="19"/>
        <item x="46"/>
        <item x="4"/>
        <item x="13"/>
        <item x="32"/>
        <item x="55"/>
        <item x="49"/>
        <item x="6"/>
        <item x="1"/>
        <item x="51"/>
        <item x="35"/>
        <item x="27"/>
        <item x="47"/>
        <item x="21"/>
        <item x="17"/>
        <item x="31"/>
        <item x="58"/>
        <item x="38"/>
        <item x="28"/>
        <item x="18"/>
        <item x="16"/>
        <item x="56"/>
        <item x="63"/>
        <item x="62"/>
        <item x="45"/>
        <item x="33"/>
        <item x="0"/>
        <item x="48"/>
        <item x="15"/>
        <item x="3"/>
        <item x="5"/>
        <item x="29"/>
        <item x="9"/>
        <item x="42"/>
        <item x="53"/>
        <item x="61"/>
        <item x="50"/>
        <item x="36"/>
        <item x="30"/>
        <item x="57"/>
        <item x="26"/>
        <item x="20"/>
        <item x="2"/>
        <item x="41"/>
        <item x="54"/>
        <item x="7"/>
        <item x="22"/>
        <item x="24"/>
        <item x="14"/>
        <item x="8"/>
        <item x="37"/>
        <item x="44"/>
        <item x="23"/>
        <item x="43"/>
        <item x="59"/>
        <item x="52"/>
        <item x="39"/>
        <item x="12"/>
        <item x="60"/>
        <item t="default"/>
      </items>
    </pivotField>
    <pivotField showAll="0">
      <items count="4">
        <item x="2"/>
        <item x="1"/>
        <item x="0"/>
        <item t="default"/>
      </items>
    </pivotField>
    <pivotField showAll="0"/>
    <pivotField showAll="0">
      <items count="6">
        <item x="3"/>
        <item x="0"/>
        <item x="2"/>
        <item x="4"/>
        <item x="1"/>
        <item t="default"/>
      </items>
    </pivotField>
    <pivotField dataField="1" showAll="0"/>
    <pivotField showAll="0"/>
    <pivotField showAll="0"/>
    <pivotField axis="axisRow" showAll="0">
      <items count="15">
        <item x="0"/>
        <item x="1"/>
        <item x="2"/>
        <item x="3"/>
        <item x="4"/>
        <item x="5"/>
        <item x="6"/>
        <item x="7"/>
        <item x="8"/>
        <item x="9"/>
        <item x="10"/>
        <item x="11"/>
        <item x="12"/>
        <item x="13"/>
        <item t="default"/>
      </items>
    </pivotField>
  </pivotFields>
  <rowFields count="1">
    <field x="8"/>
  </rowFields>
  <rowItems count="6">
    <i>
      <x v="1"/>
    </i>
    <i>
      <x v="2"/>
    </i>
    <i>
      <x v="3"/>
    </i>
    <i>
      <x v="4"/>
    </i>
    <i>
      <x v="5"/>
    </i>
    <i t="grand">
      <x/>
    </i>
  </rowItems>
  <colItems count="1">
    <i/>
  </colItems>
  <dataFields count="1">
    <dataField name="Sum of Sales" fld="5"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0E362E-F693-4D7E-A66B-5DD5979C69B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B16" firstHeaderRow="1" firstDataRow="1" firstDataCol="1"/>
  <pivotFields count="9">
    <pivotField showAll="0"/>
    <pivotField showAll="0">
      <items count="65">
        <item x="25"/>
        <item x="11"/>
        <item x="34"/>
        <item x="10"/>
        <item x="40"/>
        <item x="19"/>
        <item x="46"/>
        <item x="4"/>
        <item x="13"/>
        <item x="32"/>
        <item x="55"/>
        <item x="49"/>
        <item x="6"/>
        <item x="1"/>
        <item x="51"/>
        <item x="35"/>
        <item x="27"/>
        <item x="47"/>
        <item x="21"/>
        <item x="17"/>
        <item x="31"/>
        <item x="58"/>
        <item x="38"/>
        <item x="28"/>
        <item x="18"/>
        <item x="16"/>
        <item x="56"/>
        <item x="63"/>
        <item x="62"/>
        <item x="45"/>
        <item x="33"/>
        <item x="0"/>
        <item x="48"/>
        <item x="15"/>
        <item x="3"/>
        <item x="5"/>
        <item x="29"/>
        <item x="9"/>
        <item x="42"/>
        <item x="53"/>
        <item x="61"/>
        <item x="50"/>
        <item x="36"/>
        <item x="30"/>
        <item x="57"/>
        <item x="26"/>
        <item x="20"/>
        <item x="2"/>
        <item x="41"/>
        <item x="54"/>
        <item x="7"/>
        <item x="22"/>
        <item x="24"/>
        <item x="14"/>
        <item x="8"/>
        <item x="37"/>
        <item x="44"/>
        <item x="23"/>
        <item x="43"/>
        <item x="59"/>
        <item x="52"/>
        <item x="39"/>
        <item x="12"/>
        <item x="60"/>
        <item t="default"/>
      </items>
    </pivotField>
    <pivotField showAll="0">
      <items count="4">
        <item x="2"/>
        <item x="1"/>
        <item x="0"/>
        <item t="default"/>
      </items>
    </pivotField>
    <pivotField showAll="0"/>
    <pivotField axis="axisRow" showAll="0">
      <items count="6">
        <item x="3"/>
        <item x="0"/>
        <item x="2"/>
        <item x="4"/>
        <item x="1"/>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Profit" fld="6" baseField="0" baseItem="0"/>
  </dataFields>
  <chartFormats count="3">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D24E90-5453-4845-905C-96433E39A496}"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9">
    <pivotField showAll="0"/>
    <pivotField showAll="0">
      <items count="65">
        <item x="25"/>
        <item x="11"/>
        <item x="34"/>
        <item x="10"/>
        <item x="40"/>
        <item x="19"/>
        <item x="46"/>
        <item x="4"/>
        <item x="13"/>
        <item x="32"/>
        <item x="55"/>
        <item x="49"/>
        <item x="6"/>
        <item x="1"/>
        <item x="51"/>
        <item x="35"/>
        <item x="27"/>
        <item x="47"/>
        <item x="21"/>
        <item x="17"/>
        <item x="31"/>
        <item x="58"/>
        <item x="38"/>
        <item x="28"/>
        <item x="18"/>
        <item x="16"/>
        <item x="56"/>
        <item x="63"/>
        <item x="62"/>
        <item x="45"/>
        <item x="33"/>
        <item x="0"/>
        <item x="48"/>
        <item x="15"/>
        <item x="3"/>
        <item x="5"/>
        <item x="29"/>
        <item x="9"/>
        <item x="42"/>
        <item x="53"/>
        <item x="61"/>
        <item x="50"/>
        <item x="36"/>
        <item x="30"/>
        <item x="57"/>
        <item x="26"/>
        <item x="20"/>
        <item x="2"/>
        <item x="41"/>
        <item x="54"/>
        <item x="7"/>
        <item x="22"/>
        <item x="24"/>
        <item x="14"/>
        <item x="8"/>
        <item x="37"/>
        <item x="44"/>
        <item x="23"/>
        <item x="43"/>
        <item x="59"/>
        <item x="52"/>
        <item x="39"/>
        <item x="12"/>
        <item x="60"/>
        <item t="default"/>
      </items>
    </pivotField>
    <pivotField axis="axisRow" showAll="0">
      <items count="4">
        <item x="2"/>
        <item x="1"/>
        <item x="0"/>
        <item t="default"/>
      </items>
    </pivotField>
    <pivotField showAll="0"/>
    <pivotField showAll="0">
      <items count="6">
        <item x="3"/>
        <item x="0"/>
        <item x="2"/>
        <item x="4"/>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fld="5" baseField="0" baseItem="0"/>
  </dataFields>
  <chartFormats count="4">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F8977C-278F-44E7-8861-23D0D6383360}" sourceName="City">
  <pivotTables>
    <pivotTable tabId="3" name="PivotTable2"/>
    <pivotTable tabId="3" name="PivotTable1"/>
    <pivotTable tabId="3" name="PivotTable3"/>
  </pivotTables>
  <data>
    <tabular pivotCacheId="451025211">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1BA22C-BBB1-449D-95C3-C99DF727AA5E}" sourceName="Category">
  <pivotTables>
    <pivotTable tabId="3" name="PivotTable2"/>
    <pivotTable tabId="3" name="PivotTable1"/>
    <pivotTable tabId="3" name="PivotTable3"/>
  </pivotTables>
  <data>
    <tabular pivotCacheId="4510252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B39AF12-6684-4062-B836-0564EAC0B57B}" cache="Slicer_City" caption="City" rowHeight="234950"/>
  <slicer name="Category" xr10:uid="{0679629C-9B11-45B6-B61A-76759DF32B1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A8E78-6412-42DC-9CFB-DEF51F68977B}" name="SalesTable" displayName="SalesTable" ref="A1:H101" totalsRowShown="0">
  <autoFilter ref="A1:H101" xr:uid="{A3AA8E78-6412-42DC-9CFB-DEF51F68977B}"/>
  <tableColumns count="8">
    <tableColumn id="1" xr3:uid="{4F4AD135-D279-4ECD-A997-8F245C775462}" name="Order_ID"/>
    <tableColumn id="2" xr3:uid="{53113366-5CAE-442B-B915-7A64B7F8DDC9}" name="Date"/>
    <tableColumn id="3" xr3:uid="{77F27A11-8CCD-4F69-AC87-130811A5BB24}" name="Category"/>
    <tableColumn id="4" xr3:uid="{FC54492A-23E9-4DFD-BE59-6A72BD2E6F32}" name="Product"/>
    <tableColumn id="5" xr3:uid="{48C625EF-F816-4FBE-A655-F420F6427EEB}" name="City"/>
    <tableColumn id="6" xr3:uid="{B63B57EE-0A9A-40DA-AA0C-DCF00BD32766}" name="Sales"/>
    <tableColumn id="7" xr3:uid="{299223DC-F2A9-480D-98BF-AEF1815543FF}" name="Profit"/>
    <tableColumn id="8" xr3:uid="{3BA05A7E-07DC-4927-8FF1-D1A26131D867}"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12CD-E618-45C0-BBF0-252655CEB764}">
  <dimension ref="A3:B24"/>
  <sheetViews>
    <sheetView topLeftCell="A10" workbookViewId="0">
      <selection activeCell="C31" sqref="C31"/>
    </sheetView>
  </sheetViews>
  <sheetFormatPr defaultRowHeight="14.4" x14ac:dyDescent="0.3"/>
  <cols>
    <col min="1" max="1" width="12.5546875" bestFit="1" customWidth="1"/>
    <col min="2" max="2" width="11.6640625" bestFit="1" customWidth="1"/>
  </cols>
  <sheetData>
    <row r="3" spans="1:2" x14ac:dyDescent="0.3">
      <c r="A3" s="1" t="s">
        <v>133</v>
      </c>
      <c r="B3" t="s">
        <v>135</v>
      </c>
    </row>
    <row r="4" spans="1:2" x14ac:dyDescent="0.3">
      <c r="A4" s="2" t="s">
        <v>34</v>
      </c>
      <c r="B4" s="3">
        <v>351626</v>
      </c>
    </row>
    <row r="5" spans="1:2" x14ac:dyDescent="0.3">
      <c r="A5" s="2" t="s">
        <v>19</v>
      </c>
      <c r="B5" s="3">
        <v>367530</v>
      </c>
    </row>
    <row r="6" spans="1:2" x14ac:dyDescent="0.3">
      <c r="A6" s="2" t="s">
        <v>9</v>
      </c>
      <c r="B6" s="3">
        <v>401875</v>
      </c>
    </row>
    <row r="7" spans="1:2" x14ac:dyDescent="0.3">
      <c r="A7" s="2" t="s">
        <v>134</v>
      </c>
      <c r="B7" s="3">
        <v>1121031</v>
      </c>
    </row>
    <row r="10" spans="1:2" x14ac:dyDescent="0.3">
      <c r="A10" s="1" t="s">
        <v>133</v>
      </c>
      <c r="B10" t="s">
        <v>136</v>
      </c>
    </row>
    <row r="11" spans="1:2" x14ac:dyDescent="0.3">
      <c r="A11" s="2" t="s">
        <v>32</v>
      </c>
      <c r="B11" s="3">
        <v>55828</v>
      </c>
    </row>
    <row r="12" spans="1:2" x14ac:dyDescent="0.3">
      <c r="A12" s="2" t="s">
        <v>11</v>
      </c>
      <c r="B12" s="3">
        <v>41565</v>
      </c>
    </row>
    <row r="13" spans="1:2" x14ac:dyDescent="0.3">
      <c r="A13" s="2" t="s">
        <v>17</v>
      </c>
      <c r="B13" s="3">
        <v>53956</v>
      </c>
    </row>
    <row r="14" spans="1:2" x14ac:dyDescent="0.3">
      <c r="A14" s="2" t="s">
        <v>38</v>
      </c>
      <c r="B14" s="3">
        <v>53466</v>
      </c>
    </row>
    <row r="15" spans="1:2" x14ac:dyDescent="0.3">
      <c r="A15" s="2" t="s">
        <v>14</v>
      </c>
      <c r="B15" s="3">
        <v>36241</v>
      </c>
    </row>
    <row r="16" spans="1:2" x14ac:dyDescent="0.3">
      <c r="A16" s="2" t="s">
        <v>134</v>
      </c>
      <c r="B16" s="3">
        <v>241056</v>
      </c>
    </row>
    <row r="18" spans="1:2" x14ac:dyDescent="0.3">
      <c r="A18" s="1" t="s">
        <v>133</v>
      </c>
      <c r="B18" t="s">
        <v>135</v>
      </c>
    </row>
    <row r="19" spans="1:2" x14ac:dyDescent="0.3">
      <c r="A19" s="2" t="s">
        <v>138</v>
      </c>
      <c r="B19" s="3">
        <v>350120</v>
      </c>
    </row>
    <row r="20" spans="1:2" x14ac:dyDescent="0.3">
      <c r="A20" s="2" t="s">
        <v>139</v>
      </c>
      <c r="B20" s="3">
        <v>196007</v>
      </c>
    </row>
    <row r="21" spans="1:2" x14ac:dyDescent="0.3">
      <c r="A21" s="2" t="s">
        <v>140</v>
      </c>
      <c r="B21" s="3">
        <v>332900</v>
      </c>
    </row>
    <row r="22" spans="1:2" x14ac:dyDescent="0.3">
      <c r="A22" s="2" t="s">
        <v>141</v>
      </c>
      <c r="B22" s="3">
        <v>226259</v>
      </c>
    </row>
    <row r="23" spans="1:2" x14ac:dyDescent="0.3">
      <c r="A23" s="2" t="s">
        <v>142</v>
      </c>
      <c r="B23" s="3">
        <v>15745</v>
      </c>
    </row>
    <row r="24" spans="1:2" x14ac:dyDescent="0.3">
      <c r="A24" s="2" t="s">
        <v>134</v>
      </c>
      <c r="B24" s="3">
        <v>1121031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08F5-D8CD-4F93-A3D4-2FBBC39A8698}">
  <dimension ref="A1:P51"/>
  <sheetViews>
    <sheetView showGridLines="0" tabSelected="1" topLeftCell="A34" workbookViewId="0">
      <selection activeCell="S8" sqref="S8"/>
    </sheetView>
  </sheetViews>
  <sheetFormatPr defaultRowHeight="14.4" x14ac:dyDescent="0.3"/>
  <cols>
    <col min="1" max="16384" width="8.88671875" style="15"/>
  </cols>
  <sheetData>
    <row r="1" spans="1:16" ht="14.4" customHeight="1" x14ac:dyDescent="0.3">
      <c r="A1" s="5" t="s">
        <v>137</v>
      </c>
      <c r="B1" s="5"/>
      <c r="C1" s="5"/>
      <c r="D1" s="5"/>
      <c r="E1" s="5"/>
      <c r="F1" s="5"/>
      <c r="G1" s="5"/>
      <c r="H1" s="5"/>
      <c r="I1" s="5"/>
      <c r="J1" s="5"/>
      <c r="K1" s="5"/>
      <c r="L1" s="5"/>
      <c r="M1" s="5"/>
      <c r="N1" s="5"/>
      <c r="O1" s="5"/>
      <c r="P1" s="5"/>
    </row>
    <row r="2" spans="1:16" x14ac:dyDescent="0.3">
      <c r="A2" s="5"/>
      <c r="B2" s="5"/>
      <c r="C2" s="5"/>
      <c r="D2" s="5"/>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4"/>
      <c r="B4" s="4"/>
      <c r="C4" s="4"/>
      <c r="D4" s="4"/>
      <c r="E4" s="4"/>
      <c r="F4" s="4"/>
      <c r="G4" s="4"/>
      <c r="H4" s="4"/>
      <c r="I4" s="4"/>
      <c r="J4" s="4"/>
      <c r="K4" s="4"/>
      <c r="L4" s="4"/>
      <c r="M4" s="4"/>
      <c r="N4" s="4"/>
      <c r="O4" s="4"/>
      <c r="P4" s="4"/>
    </row>
    <row r="5" spans="1:16" ht="21" x14ac:dyDescent="0.3">
      <c r="A5" s="4"/>
      <c r="B5" s="6" t="s">
        <v>130</v>
      </c>
      <c r="C5" s="7"/>
      <c r="D5" s="7"/>
      <c r="E5" s="8"/>
      <c r="F5" s="4"/>
      <c r="G5" s="6" t="s">
        <v>131</v>
      </c>
      <c r="H5" s="7"/>
      <c r="I5" s="7"/>
      <c r="J5" s="8"/>
      <c r="K5" s="4"/>
      <c r="L5" s="6" t="s">
        <v>132</v>
      </c>
      <c r="M5" s="7"/>
      <c r="N5" s="7"/>
      <c r="O5" s="8"/>
      <c r="P5" s="4"/>
    </row>
    <row r="6" spans="1:16" ht="14.4" customHeight="1" x14ac:dyDescent="0.3">
      <c r="A6" s="4"/>
      <c r="B6" s="17">
        <f>SUM(SalesTable[Sales])</f>
        <v>1121031</v>
      </c>
      <c r="C6" s="18"/>
      <c r="D6" s="18"/>
      <c r="E6" s="19"/>
      <c r="F6" s="4"/>
      <c r="G6" s="17">
        <f>SUM(SalesTable[Profit])</f>
        <v>241056</v>
      </c>
      <c r="H6" s="18"/>
      <c r="I6" s="18"/>
      <c r="J6" s="19"/>
      <c r="K6" s="4"/>
      <c r="L6" s="12">
        <f>COUNTA(SalesTable[Order_ID])</f>
        <v>100</v>
      </c>
      <c r="M6" s="13"/>
      <c r="N6" s="13"/>
      <c r="O6" s="14"/>
      <c r="P6" s="4"/>
    </row>
    <row r="7" spans="1:16" ht="14.4" customHeight="1" x14ac:dyDescent="0.3">
      <c r="A7" s="4"/>
      <c r="B7" s="20"/>
      <c r="C7" s="21"/>
      <c r="D7" s="21"/>
      <c r="E7" s="22"/>
      <c r="F7" s="4"/>
      <c r="G7" s="20"/>
      <c r="H7" s="21"/>
      <c r="I7" s="21"/>
      <c r="J7" s="22"/>
      <c r="K7" s="4"/>
      <c r="L7" s="9"/>
      <c r="M7" s="10"/>
      <c r="N7" s="10"/>
      <c r="O7" s="11"/>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row r="20" spans="1:16" x14ac:dyDescent="0.3">
      <c r="A20" s="4"/>
      <c r="B20" s="4"/>
      <c r="C20" s="4"/>
      <c r="D20" s="4"/>
      <c r="E20" s="4"/>
      <c r="F20" s="4"/>
      <c r="G20" s="4"/>
      <c r="H20" s="4"/>
      <c r="I20" s="4"/>
      <c r="J20" s="4"/>
      <c r="K20" s="4"/>
      <c r="L20" s="4"/>
      <c r="M20" s="4"/>
      <c r="N20" s="4"/>
      <c r="O20" s="4"/>
      <c r="P20" s="4"/>
    </row>
    <row r="21" spans="1:16" x14ac:dyDescent="0.3">
      <c r="A21" s="4"/>
      <c r="B21" s="4"/>
      <c r="C21" s="4"/>
      <c r="D21" s="4"/>
      <c r="E21" s="4"/>
      <c r="F21" s="4"/>
      <c r="G21" s="4"/>
      <c r="H21" s="4"/>
      <c r="I21" s="4"/>
      <c r="J21" s="4"/>
      <c r="K21" s="4"/>
      <c r="L21" s="4"/>
      <c r="M21" s="4"/>
      <c r="N21" s="4"/>
      <c r="O21" s="4"/>
      <c r="P21" s="4"/>
    </row>
    <row r="22" spans="1:16" x14ac:dyDescent="0.3">
      <c r="A22" s="4"/>
      <c r="B22" s="4"/>
      <c r="C22" s="4"/>
      <c r="D22" s="4"/>
      <c r="E22" s="4"/>
      <c r="F22" s="4"/>
      <c r="G22" s="4"/>
      <c r="H22" s="4"/>
      <c r="I22" s="4"/>
      <c r="J22" s="4"/>
      <c r="K22" s="4"/>
      <c r="L22" s="4"/>
      <c r="M22" s="4"/>
      <c r="N22" s="4"/>
      <c r="O22" s="4"/>
      <c r="P22" s="4"/>
    </row>
    <row r="23" spans="1:16" x14ac:dyDescent="0.3">
      <c r="A23" s="4"/>
      <c r="B23" s="4"/>
      <c r="C23" s="4"/>
      <c r="D23" s="4"/>
      <c r="E23" s="4"/>
      <c r="F23" s="4"/>
      <c r="G23" s="4"/>
      <c r="H23" s="4"/>
      <c r="I23" s="4"/>
      <c r="J23" s="4"/>
      <c r="K23" s="4"/>
      <c r="L23" s="4"/>
      <c r="M23" s="4"/>
      <c r="N23" s="4"/>
      <c r="O23" s="4"/>
      <c r="P23" s="4"/>
    </row>
    <row r="24" spans="1:16" x14ac:dyDescent="0.3">
      <c r="A24" s="4"/>
      <c r="B24" s="4"/>
      <c r="C24" s="4"/>
      <c r="D24" s="4"/>
      <c r="E24" s="4"/>
      <c r="F24" s="4"/>
      <c r="G24" s="4"/>
      <c r="H24" s="4"/>
      <c r="I24" s="4"/>
      <c r="J24" s="4"/>
      <c r="K24" s="4"/>
      <c r="L24" s="4"/>
      <c r="M24" s="4"/>
      <c r="N24" s="4"/>
      <c r="O24" s="4"/>
      <c r="P24" s="4"/>
    </row>
    <row r="25" spans="1:16"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row r="27" spans="1:16" x14ac:dyDescent="0.3">
      <c r="A27" s="4"/>
      <c r="B27" s="4"/>
      <c r="C27" s="4"/>
      <c r="D27" s="4"/>
      <c r="E27" s="4"/>
      <c r="F27" s="4"/>
      <c r="G27" s="4"/>
      <c r="H27" s="4"/>
      <c r="I27" s="4"/>
      <c r="J27" s="4"/>
      <c r="K27" s="4"/>
      <c r="L27" s="4"/>
      <c r="M27" s="4"/>
      <c r="N27" s="4"/>
      <c r="O27" s="4"/>
      <c r="P27" s="4"/>
    </row>
    <row r="28" spans="1:16" x14ac:dyDescent="0.3">
      <c r="A28" s="4"/>
      <c r="B28" s="4"/>
      <c r="C28" s="4"/>
      <c r="D28" s="4"/>
      <c r="E28" s="4"/>
      <c r="F28" s="4"/>
      <c r="G28" s="4"/>
      <c r="H28" s="4"/>
      <c r="I28" s="4"/>
      <c r="J28" s="4"/>
      <c r="K28" s="4"/>
      <c r="L28" s="4"/>
      <c r="M28" s="4"/>
      <c r="N28" s="4"/>
      <c r="O28" s="4"/>
      <c r="P28" s="4"/>
    </row>
    <row r="29" spans="1:16" x14ac:dyDescent="0.3">
      <c r="A29" s="4"/>
      <c r="B29" s="4"/>
      <c r="C29" s="4"/>
      <c r="D29" s="4"/>
      <c r="E29" s="4"/>
      <c r="F29" s="4"/>
      <c r="G29" s="4"/>
      <c r="H29" s="4"/>
      <c r="I29" s="4"/>
      <c r="J29" s="4"/>
      <c r="K29" s="4"/>
      <c r="L29" s="4"/>
      <c r="M29" s="4"/>
      <c r="N29" s="4"/>
      <c r="O29" s="4"/>
      <c r="P29" s="4"/>
    </row>
    <row r="30" spans="1:16" x14ac:dyDescent="0.3">
      <c r="A30" s="4"/>
      <c r="B30" s="4"/>
      <c r="C30" s="4"/>
      <c r="D30" s="4"/>
      <c r="E30" s="4"/>
      <c r="F30" s="4"/>
      <c r="G30" s="4"/>
      <c r="H30" s="4"/>
      <c r="I30" s="4"/>
      <c r="J30" s="4"/>
      <c r="K30" s="4"/>
      <c r="L30" s="4"/>
      <c r="M30" s="4"/>
      <c r="N30" s="4"/>
      <c r="O30" s="4"/>
      <c r="P30" s="4"/>
    </row>
    <row r="31" spans="1:16" x14ac:dyDescent="0.3">
      <c r="A31" s="4"/>
      <c r="B31" s="4"/>
      <c r="C31" s="4"/>
      <c r="D31" s="4"/>
      <c r="E31" s="4"/>
      <c r="F31" s="4"/>
      <c r="G31" s="4"/>
      <c r="H31" s="4"/>
      <c r="I31" s="4"/>
      <c r="J31" s="4"/>
      <c r="K31" s="4"/>
      <c r="L31" s="4"/>
      <c r="M31" s="4"/>
      <c r="N31" s="4"/>
      <c r="O31" s="4"/>
      <c r="P31" s="4"/>
    </row>
    <row r="32" spans="1:16" x14ac:dyDescent="0.3">
      <c r="A32" s="4"/>
      <c r="B32" s="4"/>
      <c r="C32" s="4"/>
      <c r="D32" s="4"/>
      <c r="E32" s="4"/>
      <c r="F32" s="4"/>
      <c r="G32" s="4"/>
      <c r="H32" s="4"/>
      <c r="I32" s="4"/>
      <c r="J32" s="4"/>
      <c r="K32" s="4"/>
      <c r="L32" s="4"/>
      <c r="M32" s="4"/>
      <c r="N32" s="4"/>
      <c r="O32" s="4"/>
      <c r="P32" s="4"/>
    </row>
    <row r="33" spans="1:16" x14ac:dyDescent="0.3">
      <c r="A33" s="4"/>
      <c r="B33" s="4"/>
      <c r="C33" s="4"/>
      <c r="D33" s="4"/>
      <c r="E33" s="4"/>
      <c r="F33" s="4"/>
      <c r="G33" s="4"/>
      <c r="H33" s="4"/>
      <c r="I33" s="4"/>
      <c r="J33" s="4"/>
      <c r="K33" s="4"/>
      <c r="L33" s="4"/>
      <c r="M33" s="4"/>
      <c r="N33" s="4"/>
      <c r="O33" s="4"/>
      <c r="P33" s="4"/>
    </row>
    <row r="34" spans="1:16" x14ac:dyDescent="0.3">
      <c r="A34" s="4"/>
      <c r="B34" s="4"/>
      <c r="C34" s="4"/>
      <c r="D34" s="4"/>
      <c r="E34" s="4"/>
      <c r="F34" s="4"/>
      <c r="G34" s="4"/>
      <c r="H34" s="4"/>
      <c r="I34" s="4"/>
      <c r="J34" s="4"/>
      <c r="K34" s="4"/>
      <c r="L34" s="4"/>
      <c r="M34" s="4"/>
      <c r="N34" s="4"/>
      <c r="O34" s="4"/>
      <c r="P34" s="4"/>
    </row>
    <row r="35" spans="1:16" x14ac:dyDescent="0.3">
      <c r="A35" s="4"/>
      <c r="B35" s="4"/>
      <c r="C35" s="4"/>
      <c r="D35" s="4"/>
      <c r="E35" s="4"/>
      <c r="F35" s="4"/>
      <c r="G35" s="4"/>
      <c r="H35" s="4"/>
      <c r="I35" s="4"/>
      <c r="J35" s="4"/>
      <c r="K35" s="4"/>
      <c r="L35" s="4"/>
      <c r="M35" s="4"/>
      <c r="N35" s="4"/>
      <c r="O35" s="4"/>
      <c r="P35" s="4"/>
    </row>
    <row r="36" spans="1:16" x14ac:dyDescent="0.3">
      <c r="A36" s="4"/>
      <c r="B36" s="4"/>
      <c r="C36" s="4"/>
      <c r="D36" s="4"/>
      <c r="E36" s="4"/>
      <c r="F36" s="4"/>
      <c r="G36" s="4"/>
      <c r="H36" s="4"/>
      <c r="I36" s="4"/>
      <c r="J36" s="4"/>
      <c r="K36" s="4"/>
      <c r="L36" s="4"/>
      <c r="M36" s="4"/>
      <c r="N36" s="4"/>
      <c r="O36" s="4"/>
      <c r="P36" s="4"/>
    </row>
    <row r="37" spans="1:16" x14ac:dyDescent="0.3">
      <c r="A37" s="4"/>
      <c r="B37" s="4"/>
      <c r="C37" s="4"/>
      <c r="D37" s="4"/>
      <c r="E37" s="4"/>
      <c r="F37" s="4"/>
      <c r="G37" s="4"/>
      <c r="H37" s="4"/>
      <c r="I37" s="4"/>
      <c r="J37" s="4"/>
      <c r="K37" s="4"/>
      <c r="L37" s="4"/>
      <c r="M37" s="4"/>
      <c r="N37" s="4"/>
      <c r="O37" s="4"/>
      <c r="P37" s="4"/>
    </row>
    <row r="38" spans="1:16" x14ac:dyDescent="0.3">
      <c r="A38" s="4"/>
      <c r="B38" s="4"/>
      <c r="C38" s="4"/>
      <c r="D38" s="4"/>
      <c r="E38" s="4"/>
      <c r="F38" s="4"/>
      <c r="G38" s="4"/>
      <c r="H38" s="4"/>
      <c r="I38" s="4"/>
      <c r="J38" s="4"/>
      <c r="K38" s="4"/>
      <c r="L38" s="4"/>
      <c r="M38" s="4"/>
      <c r="N38" s="4"/>
      <c r="O38" s="4"/>
      <c r="P38" s="4"/>
    </row>
    <row r="39" spans="1:16" x14ac:dyDescent="0.3">
      <c r="A39" s="4"/>
      <c r="B39" s="4"/>
      <c r="C39" s="4"/>
      <c r="D39" s="4"/>
      <c r="E39" s="4"/>
      <c r="F39" s="4"/>
      <c r="G39" s="4"/>
      <c r="H39" s="4"/>
      <c r="I39" s="4"/>
      <c r="J39" s="4"/>
      <c r="K39" s="4"/>
      <c r="L39" s="4"/>
      <c r="M39" s="4"/>
      <c r="N39" s="4"/>
      <c r="O39" s="4"/>
      <c r="P39" s="4"/>
    </row>
    <row r="40" spans="1:16" x14ac:dyDescent="0.3">
      <c r="A40" s="4"/>
      <c r="B40" s="4"/>
      <c r="C40" s="4"/>
      <c r="D40" s="4"/>
      <c r="E40" s="4"/>
      <c r="F40" s="4"/>
      <c r="G40" s="4"/>
      <c r="H40" s="4"/>
      <c r="I40" s="4"/>
      <c r="J40" s="4"/>
      <c r="K40" s="4"/>
      <c r="L40" s="4"/>
      <c r="M40" s="4"/>
      <c r="N40" s="4"/>
      <c r="O40" s="4"/>
      <c r="P40" s="4"/>
    </row>
    <row r="41" spans="1:16" x14ac:dyDescent="0.3">
      <c r="A41" s="4"/>
      <c r="B41" s="4"/>
      <c r="C41" s="4"/>
      <c r="E41" s="4"/>
      <c r="F41" s="4"/>
      <c r="G41" s="4"/>
      <c r="H41" s="4"/>
      <c r="I41" s="4"/>
      <c r="J41" s="4"/>
      <c r="K41" s="4"/>
      <c r="L41" s="4"/>
      <c r="N41" s="4"/>
      <c r="O41" s="4"/>
      <c r="P41" s="4"/>
    </row>
    <row r="42" spans="1:16" x14ac:dyDescent="0.3">
      <c r="A42" s="4"/>
      <c r="B42" s="4"/>
      <c r="C42" s="4"/>
      <c r="D42" s="4"/>
      <c r="E42" s="4"/>
      <c r="F42" s="4"/>
      <c r="G42" s="4"/>
      <c r="H42" s="4"/>
      <c r="I42" s="4"/>
      <c r="J42" s="4"/>
      <c r="K42" s="4"/>
      <c r="L42" s="4"/>
      <c r="M42" s="4"/>
      <c r="N42" s="4"/>
      <c r="O42" s="4"/>
      <c r="P42" s="4"/>
    </row>
    <row r="43" spans="1:16" x14ac:dyDescent="0.3">
      <c r="A43" s="4"/>
      <c r="B43" s="4"/>
      <c r="C43" s="4"/>
      <c r="D43" s="4"/>
      <c r="E43" s="4"/>
      <c r="F43" s="4"/>
      <c r="G43" s="4"/>
      <c r="H43" s="4"/>
      <c r="I43" s="4"/>
      <c r="J43" s="4"/>
      <c r="K43" s="4"/>
      <c r="L43" s="4"/>
      <c r="M43" s="4"/>
      <c r="N43" s="4"/>
      <c r="O43" s="4"/>
      <c r="P43" s="4"/>
    </row>
    <row r="44" spans="1:16" x14ac:dyDescent="0.3">
      <c r="A44" s="4"/>
      <c r="B44" s="4"/>
      <c r="C44" s="4"/>
      <c r="D44" s="4"/>
      <c r="E44" s="4"/>
      <c r="F44" s="4"/>
      <c r="G44" s="4"/>
      <c r="H44" s="4"/>
      <c r="I44" s="4"/>
      <c r="J44" s="4"/>
      <c r="K44" s="4"/>
      <c r="L44" s="4"/>
      <c r="M44" s="4"/>
      <c r="N44" s="4"/>
      <c r="O44" s="4"/>
      <c r="P44" s="4"/>
    </row>
    <row r="45" spans="1:16" x14ac:dyDescent="0.3">
      <c r="A45" s="4"/>
      <c r="B45" s="4"/>
      <c r="C45" s="4"/>
      <c r="D45" s="4"/>
      <c r="E45" s="4"/>
      <c r="F45" s="4"/>
      <c r="G45" s="4"/>
      <c r="H45" s="4"/>
      <c r="I45" s="4"/>
      <c r="J45" s="4"/>
      <c r="K45" s="4"/>
      <c r="L45" s="4"/>
      <c r="M45" s="4"/>
      <c r="N45" s="4"/>
      <c r="O45" s="4"/>
      <c r="P45" s="4"/>
    </row>
    <row r="46" spans="1:16" x14ac:dyDescent="0.3">
      <c r="A46" s="4"/>
      <c r="B46" s="4"/>
      <c r="C46" s="4"/>
      <c r="D46" s="4"/>
      <c r="E46" s="4"/>
      <c r="F46" s="4"/>
      <c r="G46" s="4"/>
      <c r="H46" s="4"/>
      <c r="I46" s="4"/>
      <c r="J46" s="4"/>
      <c r="K46" s="4"/>
      <c r="L46" s="4"/>
      <c r="M46" s="4"/>
      <c r="N46" s="4"/>
      <c r="O46" s="4"/>
      <c r="P46" s="4"/>
    </row>
    <row r="47" spans="1:16" x14ac:dyDescent="0.3">
      <c r="A47" s="4"/>
      <c r="B47" s="4"/>
      <c r="C47" s="4"/>
      <c r="D47" s="4"/>
      <c r="E47" s="4"/>
      <c r="F47" s="4"/>
      <c r="G47" s="4"/>
      <c r="H47" s="4"/>
      <c r="I47" s="4"/>
      <c r="J47" s="4"/>
      <c r="K47" s="4"/>
      <c r="L47" s="4"/>
      <c r="M47" s="4"/>
      <c r="N47" s="4"/>
      <c r="O47" s="4"/>
      <c r="P47" s="4"/>
    </row>
    <row r="48" spans="1:16" x14ac:dyDescent="0.3">
      <c r="A48" s="4"/>
      <c r="B48" s="4"/>
      <c r="C48" s="4"/>
      <c r="D48" s="4"/>
      <c r="E48" s="4"/>
      <c r="F48" s="4"/>
      <c r="G48" s="4"/>
      <c r="H48" s="4"/>
      <c r="I48" s="4"/>
      <c r="J48" s="4"/>
      <c r="K48" s="4"/>
      <c r="L48" s="4"/>
      <c r="M48" s="4"/>
      <c r="N48" s="4"/>
      <c r="O48" s="4"/>
      <c r="P48" s="4"/>
    </row>
    <row r="49" spans="1:16" x14ac:dyDescent="0.3">
      <c r="A49" s="4"/>
      <c r="B49" s="4"/>
      <c r="C49" s="4"/>
      <c r="D49" s="4"/>
      <c r="E49" s="4"/>
      <c r="F49" s="4"/>
      <c r="G49" s="4"/>
      <c r="H49" s="4"/>
      <c r="I49" s="4"/>
      <c r="J49" s="4"/>
      <c r="K49" s="4"/>
      <c r="L49" s="4"/>
      <c r="M49" s="4"/>
      <c r="N49" s="4"/>
      <c r="O49" s="4"/>
      <c r="P49" s="4"/>
    </row>
    <row r="50" spans="1:16" x14ac:dyDescent="0.3">
      <c r="A50" s="4"/>
      <c r="B50" s="4"/>
      <c r="C50" s="4"/>
      <c r="D50" s="4"/>
      <c r="E50" s="4"/>
      <c r="F50" s="4"/>
      <c r="G50" s="4"/>
      <c r="H50" s="4"/>
      <c r="I50" s="4"/>
      <c r="J50" s="4"/>
      <c r="K50" s="4"/>
      <c r="L50" s="4"/>
      <c r="M50" s="4"/>
      <c r="N50" s="4"/>
      <c r="O50" s="4"/>
      <c r="P50" s="4"/>
    </row>
    <row r="51" spans="1:16" x14ac:dyDescent="0.3">
      <c r="A51" s="4"/>
      <c r="B51" s="4"/>
      <c r="C51" s="4"/>
      <c r="D51" s="4"/>
      <c r="E51" s="4"/>
      <c r="F51" s="4"/>
      <c r="G51" s="4"/>
      <c r="H51" s="4"/>
      <c r="I51" s="4"/>
      <c r="J51" s="4"/>
      <c r="K51" s="4"/>
      <c r="L51" s="4"/>
      <c r="M51" s="4"/>
      <c r="N51" s="4"/>
      <c r="O51" s="4"/>
      <c r="P51" s="4"/>
    </row>
  </sheetData>
  <mergeCells count="7">
    <mergeCell ref="G6:J7"/>
    <mergeCell ref="L5:O5"/>
    <mergeCell ref="L6:O7"/>
    <mergeCell ref="A1:P3"/>
    <mergeCell ref="B5:E5"/>
    <mergeCell ref="B6:E7"/>
    <mergeCell ref="G5: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78" workbookViewId="0">
      <selection activeCell="M94" sqref="M94"/>
    </sheetView>
  </sheetViews>
  <sheetFormatPr defaultRowHeight="14.4" x14ac:dyDescent="0.3"/>
  <cols>
    <col min="1" max="1" width="10.44140625" customWidth="1"/>
    <col min="2" max="2" width="12" customWidth="1"/>
    <col min="3" max="3" width="13" customWidth="1"/>
    <col min="4" max="4" width="10" customWidth="1"/>
    <col min="5" max="5" width="11" customWidth="1"/>
    <col min="6" max="6" width="7.109375" customWidth="1"/>
    <col min="7" max="7" width="8" customWidth="1"/>
    <col min="8" max="8" width="10.21875" customWidth="1"/>
  </cols>
  <sheetData>
    <row r="1" spans="1:8" x14ac:dyDescent="0.3">
      <c r="A1" t="s">
        <v>0</v>
      </c>
      <c r="B1" t="s">
        <v>1</v>
      </c>
      <c r="C1" t="s">
        <v>2</v>
      </c>
      <c r="D1" t="s">
        <v>3</v>
      </c>
      <c r="E1" t="s">
        <v>4</v>
      </c>
      <c r="F1" t="s">
        <v>5</v>
      </c>
      <c r="G1" t="s">
        <v>6</v>
      </c>
      <c r="H1" t="s">
        <v>7</v>
      </c>
    </row>
    <row r="2" spans="1:8" x14ac:dyDescent="0.3">
      <c r="A2" t="s">
        <v>8</v>
      </c>
      <c r="B2" s="16">
        <v>46084</v>
      </c>
      <c r="C2" t="s">
        <v>9</v>
      </c>
      <c r="D2" t="s">
        <v>10</v>
      </c>
      <c r="E2" t="s">
        <v>11</v>
      </c>
      <c r="F2">
        <v>4924</v>
      </c>
      <c r="G2">
        <v>1157</v>
      </c>
      <c r="H2">
        <v>7</v>
      </c>
    </row>
    <row r="3" spans="1:8" x14ac:dyDescent="0.3">
      <c r="A3" t="s">
        <v>12</v>
      </c>
      <c r="B3" s="16">
        <v>46047</v>
      </c>
      <c r="C3" t="s">
        <v>9</v>
      </c>
      <c r="D3" t="s">
        <v>13</v>
      </c>
      <c r="E3" t="s">
        <v>14</v>
      </c>
      <c r="F3">
        <v>7173</v>
      </c>
      <c r="G3">
        <v>4511</v>
      </c>
      <c r="H3">
        <v>10</v>
      </c>
    </row>
    <row r="4" spans="1:8" x14ac:dyDescent="0.3">
      <c r="A4" t="s">
        <v>15</v>
      </c>
      <c r="B4" s="16">
        <v>46110</v>
      </c>
      <c r="C4" t="s">
        <v>9</v>
      </c>
      <c r="D4" t="s">
        <v>16</v>
      </c>
      <c r="E4" t="s">
        <v>17</v>
      </c>
      <c r="F4">
        <v>3669</v>
      </c>
      <c r="G4">
        <v>2388</v>
      </c>
      <c r="H4">
        <v>1</v>
      </c>
    </row>
    <row r="5" spans="1:8" x14ac:dyDescent="0.3">
      <c r="A5" t="s">
        <v>18</v>
      </c>
      <c r="B5" s="16">
        <v>46087</v>
      </c>
      <c r="C5" t="s">
        <v>19</v>
      </c>
      <c r="D5" t="s">
        <v>20</v>
      </c>
      <c r="E5" t="s">
        <v>17</v>
      </c>
      <c r="F5">
        <v>3602</v>
      </c>
      <c r="G5">
        <v>1181</v>
      </c>
      <c r="H5">
        <v>7</v>
      </c>
    </row>
    <row r="6" spans="1:8" x14ac:dyDescent="0.3">
      <c r="A6" t="s">
        <v>21</v>
      </c>
      <c r="B6" s="16">
        <v>46039</v>
      </c>
      <c r="C6" t="s">
        <v>9</v>
      </c>
      <c r="D6" t="s">
        <v>16</v>
      </c>
      <c r="E6" t="s">
        <v>17</v>
      </c>
      <c r="F6">
        <v>13202</v>
      </c>
      <c r="G6">
        <v>3179</v>
      </c>
      <c r="H6">
        <v>3</v>
      </c>
    </row>
    <row r="7" spans="1:8" x14ac:dyDescent="0.3">
      <c r="A7" t="s">
        <v>22</v>
      </c>
      <c r="B7" s="16">
        <v>46088</v>
      </c>
      <c r="C7" t="s">
        <v>19</v>
      </c>
      <c r="D7" t="s">
        <v>23</v>
      </c>
      <c r="E7" t="s">
        <v>14</v>
      </c>
      <c r="F7">
        <v>6994</v>
      </c>
      <c r="G7">
        <v>1753</v>
      </c>
      <c r="H7">
        <v>10</v>
      </c>
    </row>
    <row r="8" spans="1:8" x14ac:dyDescent="0.3">
      <c r="A8" t="s">
        <v>24</v>
      </c>
      <c r="B8" s="16">
        <v>46046</v>
      </c>
      <c r="C8" t="s">
        <v>19</v>
      </c>
      <c r="D8" t="s">
        <v>23</v>
      </c>
      <c r="E8" t="s">
        <v>17</v>
      </c>
      <c r="F8">
        <v>18932</v>
      </c>
      <c r="G8">
        <v>950</v>
      </c>
      <c r="H8">
        <v>2</v>
      </c>
    </row>
    <row r="9" spans="1:8" x14ac:dyDescent="0.3">
      <c r="A9" t="s">
        <v>25</v>
      </c>
      <c r="B9" s="16">
        <v>46114</v>
      </c>
      <c r="C9" t="s">
        <v>19</v>
      </c>
      <c r="D9" t="s">
        <v>26</v>
      </c>
      <c r="E9" t="s">
        <v>14</v>
      </c>
      <c r="F9">
        <v>12640</v>
      </c>
      <c r="G9">
        <v>570</v>
      </c>
      <c r="H9">
        <v>3</v>
      </c>
    </row>
    <row r="10" spans="1:8" x14ac:dyDescent="0.3">
      <c r="A10" t="s">
        <v>27</v>
      </c>
      <c r="B10" s="16">
        <v>46120</v>
      </c>
      <c r="C10" t="s">
        <v>19</v>
      </c>
      <c r="D10" t="s">
        <v>26</v>
      </c>
      <c r="E10" t="s">
        <v>17</v>
      </c>
      <c r="F10">
        <v>6663</v>
      </c>
      <c r="G10">
        <v>3436</v>
      </c>
      <c r="H10">
        <v>7</v>
      </c>
    </row>
    <row r="11" spans="1:8" x14ac:dyDescent="0.3">
      <c r="A11" t="s">
        <v>28</v>
      </c>
      <c r="B11" s="16">
        <v>46091</v>
      </c>
      <c r="C11" t="s">
        <v>9</v>
      </c>
      <c r="D11" t="s">
        <v>13</v>
      </c>
      <c r="E11" t="s">
        <v>17</v>
      </c>
      <c r="F11">
        <v>14264</v>
      </c>
      <c r="G11">
        <v>1845</v>
      </c>
      <c r="H11">
        <v>3</v>
      </c>
    </row>
    <row r="12" spans="1:8" x14ac:dyDescent="0.3">
      <c r="A12" t="s">
        <v>29</v>
      </c>
      <c r="B12" s="16">
        <v>46028</v>
      </c>
      <c r="C12" t="s">
        <v>19</v>
      </c>
      <c r="D12" t="s">
        <v>30</v>
      </c>
      <c r="E12" t="s">
        <v>17</v>
      </c>
      <c r="F12">
        <v>9271</v>
      </c>
      <c r="G12">
        <v>2502</v>
      </c>
      <c r="H12">
        <v>4</v>
      </c>
    </row>
    <row r="13" spans="1:8" x14ac:dyDescent="0.3">
      <c r="A13" t="s">
        <v>31</v>
      </c>
      <c r="B13" s="16">
        <v>46024</v>
      </c>
      <c r="C13" t="s">
        <v>9</v>
      </c>
      <c r="D13" t="s">
        <v>13</v>
      </c>
      <c r="E13" t="s">
        <v>32</v>
      </c>
      <c r="F13">
        <v>4550</v>
      </c>
      <c r="G13">
        <v>2200</v>
      </c>
      <c r="H13">
        <v>8</v>
      </c>
    </row>
    <row r="14" spans="1:8" x14ac:dyDescent="0.3">
      <c r="A14" t="s">
        <v>33</v>
      </c>
      <c r="B14" s="16">
        <v>46139</v>
      </c>
      <c r="C14" t="s">
        <v>34</v>
      </c>
      <c r="D14" t="s">
        <v>35</v>
      </c>
      <c r="E14" t="s">
        <v>17</v>
      </c>
      <c r="F14">
        <v>10197</v>
      </c>
      <c r="G14">
        <v>1015</v>
      </c>
      <c r="H14">
        <v>1</v>
      </c>
    </row>
    <row r="15" spans="1:8" x14ac:dyDescent="0.3">
      <c r="A15" t="s">
        <v>36</v>
      </c>
      <c r="B15" s="16">
        <v>46040</v>
      </c>
      <c r="C15" t="s">
        <v>34</v>
      </c>
      <c r="D15" t="s">
        <v>37</v>
      </c>
      <c r="E15" t="s">
        <v>38</v>
      </c>
      <c r="F15">
        <v>3763</v>
      </c>
      <c r="G15">
        <v>3131</v>
      </c>
      <c r="H15">
        <v>4</v>
      </c>
    </row>
    <row r="16" spans="1:8" x14ac:dyDescent="0.3">
      <c r="A16" t="s">
        <v>39</v>
      </c>
      <c r="B16" s="16">
        <v>46120</v>
      </c>
      <c r="C16" t="s">
        <v>34</v>
      </c>
      <c r="D16" t="s">
        <v>37</v>
      </c>
      <c r="E16" t="s">
        <v>17</v>
      </c>
      <c r="F16">
        <v>12844</v>
      </c>
      <c r="G16">
        <v>1873</v>
      </c>
      <c r="H16">
        <v>1</v>
      </c>
    </row>
    <row r="17" spans="1:8" x14ac:dyDescent="0.3">
      <c r="A17" t="s">
        <v>40</v>
      </c>
      <c r="B17" s="16">
        <v>46110</v>
      </c>
      <c r="C17" t="s">
        <v>34</v>
      </c>
      <c r="D17" t="s">
        <v>41</v>
      </c>
      <c r="E17" t="s">
        <v>11</v>
      </c>
      <c r="F17">
        <v>2897</v>
      </c>
      <c r="G17">
        <v>2782</v>
      </c>
      <c r="H17">
        <v>9</v>
      </c>
    </row>
    <row r="18" spans="1:8" x14ac:dyDescent="0.3">
      <c r="A18" t="s">
        <v>42</v>
      </c>
      <c r="B18" s="16">
        <v>46119</v>
      </c>
      <c r="C18" t="s">
        <v>34</v>
      </c>
      <c r="D18" t="s">
        <v>37</v>
      </c>
      <c r="E18" t="s">
        <v>14</v>
      </c>
      <c r="F18">
        <v>9947</v>
      </c>
      <c r="G18">
        <v>1950</v>
      </c>
      <c r="H18">
        <v>5</v>
      </c>
    </row>
    <row r="19" spans="1:8" x14ac:dyDescent="0.3">
      <c r="A19" t="s">
        <v>43</v>
      </c>
      <c r="B19" s="16">
        <v>46091</v>
      </c>
      <c r="C19" t="s">
        <v>9</v>
      </c>
      <c r="D19" t="s">
        <v>13</v>
      </c>
      <c r="E19" t="s">
        <v>11</v>
      </c>
      <c r="F19">
        <v>17610</v>
      </c>
      <c r="G19">
        <v>4642</v>
      </c>
      <c r="H19">
        <v>9</v>
      </c>
    </row>
    <row r="20" spans="1:8" x14ac:dyDescent="0.3">
      <c r="A20" t="s">
        <v>44</v>
      </c>
      <c r="B20" s="16">
        <v>46039</v>
      </c>
      <c r="C20" t="s">
        <v>9</v>
      </c>
      <c r="D20" t="s">
        <v>16</v>
      </c>
      <c r="E20" t="s">
        <v>17</v>
      </c>
      <c r="F20">
        <v>12885</v>
      </c>
      <c r="G20">
        <v>2514</v>
      </c>
      <c r="H20">
        <v>6</v>
      </c>
    </row>
    <row r="21" spans="1:8" x14ac:dyDescent="0.3">
      <c r="A21" t="s">
        <v>45</v>
      </c>
      <c r="B21" s="16">
        <v>46086</v>
      </c>
      <c r="C21" t="s">
        <v>9</v>
      </c>
      <c r="D21" t="s">
        <v>13</v>
      </c>
      <c r="E21" t="s">
        <v>14</v>
      </c>
      <c r="F21">
        <v>10463</v>
      </c>
      <c r="G21">
        <v>665</v>
      </c>
      <c r="H21">
        <v>2</v>
      </c>
    </row>
    <row r="22" spans="1:8" x14ac:dyDescent="0.3">
      <c r="A22" t="s">
        <v>46</v>
      </c>
      <c r="B22" s="16">
        <v>46072</v>
      </c>
      <c r="C22" t="s">
        <v>19</v>
      </c>
      <c r="D22" t="s">
        <v>30</v>
      </c>
      <c r="E22" t="s">
        <v>14</v>
      </c>
      <c r="F22">
        <v>15715</v>
      </c>
      <c r="G22">
        <v>2098</v>
      </c>
      <c r="H22">
        <v>3</v>
      </c>
    </row>
    <row r="23" spans="1:8" x14ac:dyDescent="0.3">
      <c r="A23" t="s">
        <v>47</v>
      </c>
      <c r="B23" s="16">
        <v>46061</v>
      </c>
      <c r="C23" t="s">
        <v>34</v>
      </c>
      <c r="D23" t="s">
        <v>37</v>
      </c>
      <c r="E23" t="s">
        <v>32</v>
      </c>
      <c r="F23">
        <v>13625</v>
      </c>
      <c r="G23">
        <v>4137</v>
      </c>
      <c r="H23">
        <v>2</v>
      </c>
    </row>
    <row r="24" spans="1:8" x14ac:dyDescent="0.3">
      <c r="A24" t="s">
        <v>48</v>
      </c>
      <c r="B24" s="16">
        <v>46069</v>
      </c>
      <c r="C24" t="s">
        <v>34</v>
      </c>
      <c r="D24" t="s">
        <v>41</v>
      </c>
      <c r="E24" t="s">
        <v>17</v>
      </c>
      <c r="F24">
        <v>2205</v>
      </c>
      <c r="G24">
        <v>2265</v>
      </c>
      <c r="H24">
        <v>6</v>
      </c>
    </row>
    <row r="25" spans="1:8" x14ac:dyDescent="0.3">
      <c r="A25" t="s">
        <v>49</v>
      </c>
      <c r="B25" s="16">
        <v>46032</v>
      </c>
      <c r="C25" t="s">
        <v>19</v>
      </c>
      <c r="D25" t="s">
        <v>20</v>
      </c>
      <c r="E25" t="s">
        <v>14</v>
      </c>
      <c r="F25">
        <v>9599</v>
      </c>
      <c r="G25">
        <v>4504</v>
      </c>
      <c r="H25">
        <v>5</v>
      </c>
    </row>
    <row r="26" spans="1:8" x14ac:dyDescent="0.3">
      <c r="A26" t="s">
        <v>50</v>
      </c>
      <c r="B26" s="16">
        <v>46108</v>
      </c>
      <c r="C26" t="s">
        <v>9</v>
      </c>
      <c r="D26" t="s">
        <v>10</v>
      </c>
      <c r="E26" t="s">
        <v>32</v>
      </c>
      <c r="F26">
        <v>10622</v>
      </c>
      <c r="G26">
        <v>1664</v>
      </c>
      <c r="H26">
        <v>9</v>
      </c>
    </row>
    <row r="27" spans="1:8" x14ac:dyDescent="0.3">
      <c r="A27" t="s">
        <v>51</v>
      </c>
      <c r="B27" s="16">
        <v>46057</v>
      </c>
      <c r="C27" t="s">
        <v>19</v>
      </c>
      <c r="D27" t="s">
        <v>26</v>
      </c>
      <c r="E27" t="s">
        <v>14</v>
      </c>
      <c r="F27">
        <v>17605</v>
      </c>
      <c r="G27">
        <v>425</v>
      </c>
      <c r="H27">
        <v>1</v>
      </c>
    </row>
    <row r="28" spans="1:8" x14ac:dyDescent="0.3">
      <c r="A28" t="s">
        <v>52</v>
      </c>
      <c r="B28" s="16">
        <v>46115</v>
      </c>
      <c r="C28" t="s">
        <v>9</v>
      </c>
      <c r="D28" t="s">
        <v>16</v>
      </c>
      <c r="E28" t="s">
        <v>32</v>
      </c>
      <c r="F28">
        <v>9189</v>
      </c>
      <c r="G28">
        <v>1188</v>
      </c>
      <c r="H28">
        <v>9</v>
      </c>
    </row>
    <row r="29" spans="1:8" x14ac:dyDescent="0.3">
      <c r="A29" t="s">
        <v>53</v>
      </c>
      <c r="B29" s="16">
        <v>46086</v>
      </c>
      <c r="C29" t="s">
        <v>19</v>
      </c>
      <c r="D29" t="s">
        <v>23</v>
      </c>
      <c r="E29" t="s">
        <v>11</v>
      </c>
      <c r="F29">
        <v>3798</v>
      </c>
      <c r="G29">
        <v>391</v>
      </c>
      <c r="H29">
        <v>4</v>
      </c>
    </row>
    <row r="30" spans="1:8" x14ac:dyDescent="0.3">
      <c r="A30" t="s">
        <v>54</v>
      </c>
      <c r="B30" s="16">
        <v>46128</v>
      </c>
      <c r="C30" t="s">
        <v>34</v>
      </c>
      <c r="D30" t="s">
        <v>35</v>
      </c>
      <c r="E30" t="s">
        <v>17</v>
      </c>
      <c r="F30">
        <v>12507</v>
      </c>
      <c r="G30">
        <v>390</v>
      </c>
      <c r="H30">
        <v>5</v>
      </c>
    </row>
    <row r="31" spans="1:8" x14ac:dyDescent="0.3">
      <c r="A31" t="s">
        <v>55</v>
      </c>
      <c r="B31" s="16">
        <v>46117</v>
      </c>
      <c r="C31" t="s">
        <v>9</v>
      </c>
      <c r="D31" t="s">
        <v>10</v>
      </c>
      <c r="E31" t="s">
        <v>14</v>
      </c>
      <c r="F31">
        <v>7811</v>
      </c>
      <c r="G31">
        <v>1263</v>
      </c>
      <c r="H31">
        <v>6</v>
      </c>
    </row>
    <row r="32" spans="1:8" x14ac:dyDescent="0.3">
      <c r="A32" t="s">
        <v>56</v>
      </c>
      <c r="B32" s="16">
        <v>46061</v>
      </c>
      <c r="C32" t="s">
        <v>19</v>
      </c>
      <c r="D32" t="s">
        <v>23</v>
      </c>
      <c r="E32" t="s">
        <v>32</v>
      </c>
      <c r="F32">
        <v>7186</v>
      </c>
      <c r="G32">
        <v>2936</v>
      </c>
      <c r="H32">
        <v>3</v>
      </c>
    </row>
    <row r="33" spans="1:8" x14ac:dyDescent="0.3">
      <c r="A33" t="s">
        <v>57</v>
      </c>
      <c r="B33" s="16">
        <v>46023</v>
      </c>
      <c r="C33" t="s">
        <v>9</v>
      </c>
      <c r="D33" t="s">
        <v>58</v>
      </c>
      <c r="E33" t="s">
        <v>11</v>
      </c>
      <c r="F33">
        <v>15995</v>
      </c>
      <c r="G33">
        <v>235</v>
      </c>
      <c r="H33">
        <v>5</v>
      </c>
    </row>
    <row r="34" spans="1:8" x14ac:dyDescent="0.3">
      <c r="A34" t="s">
        <v>59</v>
      </c>
      <c r="B34" s="16">
        <v>46107</v>
      </c>
      <c r="C34" t="s">
        <v>19</v>
      </c>
      <c r="D34" t="s">
        <v>23</v>
      </c>
      <c r="E34" t="s">
        <v>17</v>
      </c>
      <c r="F34">
        <v>4981</v>
      </c>
      <c r="G34">
        <v>3224</v>
      </c>
      <c r="H34">
        <v>6</v>
      </c>
    </row>
    <row r="35" spans="1:8" x14ac:dyDescent="0.3">
      <c r="A35" t="s">
        <v>60</v>
      </c>
      <c r="B35" s="16">
        <v>46054</v>
      </c>
      <c r="C35" t="s">
        <v>9</v>
      </c>
      <c r="D35" t="s">
        <v>13</v>
      </c>
      <c r="E35" t="s">
        <v>32</v>
      </c>
      <c r="F35">
        <v>17735</v>
      </c>
      <c r="G35">
        <v>4467</v>
      </c>
      <c r="H35">
        <v>8</v>
      </c>
    </row>
    <row r="36" spans="1:8" x14ac:dyDescent="0.3">
      <c r="A36" t="s">
        <v>61</v>
      </c>
      <c r="B36" s="16">
        <v>46067</v>
      </c>
      <c r="C36" t="s">
        <v>9</v>
      </c>
      <c r="D36" t="s">
        <v>58</v>
      </c>
      <c r="E36" t="s">
        <v>17</v>
      </c>
      <c r="F36">
        <v>16866</v>
      </c>
      <c r="G36">
        <v>3894</v>
      </c>
      <c r="H36">
        <v>10</v>
      </c>
    </row>
    <row r="37" spans="1:8" x14ac:dyDescent="0.3">
      <c r="A37" t="s">
        <v>62</v>
      </c>
      <c r="B37" s="16">
        <v>46090</v>
      </c>
      <c r="C37" t="s">
        <v>34</v>
      </c>
      <c r="D37" t="s">
        <v>41</v>
      </c>
      <c r="E37" t="s">
        <v>11</v>
      </c>
      <c r="F37">
        <v>10935</v>
      </c>
      <c r="G37">
        <v>1550</v>
      </c>
      <c r="H37">
        <v>9</v>
      </c>
    </row>
    <row r="38" spans="1:8" x14ac:dyDescent="0.3">
      <c r="A38" t="s">
        <v>63</v>
      </c>
      <c r="B38" s="16">
        <v>46103</v>
      </c>
      <c r="C38" t="s">
        <v>9</v>
      </c>
      <c r="D38" t="s">
        <v>16</v>
      </c>
      <c r="E38" t="s">
        <v>14</v>
      </c>
      <c r="F38">
        <v>10659</v>
      </c>
      <c r="G38">
        <v>4425</v>
      </c>
      <c r="H38">
        <v>1</v>
      </c>
    </row>
    <row r="39" spans="1:8" x14ac:dyDescent="0.3">
      <c r="A39" t="s">
        <v>64</v>
      </c>
      <c r="B39" s="16">
        <v>46063</v>
      </c>
      <c r="C39" t="s">
        <v>34</v>
      </c>
      <c r="D39" t="s">
        <v>37</v>
      </c>
      <c r="E39" t="s">
        <v>38</v>
      </c>
      <c r="F39">
        <v>8904</v>
      </c>
      <c r="G39">
        <v>2993</v>
      </c>
      <c r="H39">
        <v>7</v>
      </c>
    </row>
    <row r="40" spans="1:8" x14ac:dyDescent="0.3">
      <c r="A40" t="s">
        <v>65</v>
      </c>
      <c r="B40" s="16">
        <v>46041</v>
      </c>
      <c r="C40" t="s">
        <v>34</v>
      </c>
      <c r="D40" t="s">
        <v>35</v>
      </c>
      <c r="E40" t="s">
        <v>38</v>
      </c>
      <c r="F40">
        <v>18161</v>
      </c>
      <c r="G40">
        <v>2502</v>
      </c>
      <c r="H40">
        <v>6</v>
      </c>
    </row>
    <row r="41" spans="1:8" x14ac:dyDescent="0.3">
      <c r="A41" t="s">
        <v>66</v>
      </c>
      <c r="B41" s="16">
        <v>46083</v>
      </c>
      <c r="C41" t="s">
        <v>19</v>
      </c>
      <c r="D41" t="s">
        <v>30</v>
      </c>
      <c r="E41" t="s">
        <v>38</v>
      </c>
      <c r="F41">
        <v>9813</v>
      </c>
      <c r="G41">
        <v>2224</v>
      </c>
      <c r="H41">
        <v>1</v>
      </c>
    </row>
    <row r="42" spans="1:8" x14ac:dyDescent="0.3">
      <c r="A42" t="s">
        <v>67</v>
      </c>
      <c r="B42" s="16">
        <v>46090</v>
      </c>
      <c r="C42" t="s">
        <v>19</v>
      </c>
      <c r="D42" t="s">
        <v>30</v>
      </c>
      <c r="E42" t="s">
        <v>11</v>
      </c>
      <c r="F42">
        <v>1857</v>
      </c>
      <c r="G42">
        <v>2851</v>
      </c>
      <c r="H42">
        <v>4</v>
      </c>
    </row>
    <row r="43" spans="1:8" x14ac:dyDescent="0.3">
      <c r="A43" t="s">
        <v>68</v>
      </c>
      <c r="B43" s="16">
        <v>46026</v>
      </c>
      <c r="C43" t="s">
        <v>19</v>
      </c>
      <c r="D43" t="s">
        <v>20</v>
      </c>
      <c r="E43" t="s">
        <v>11</v>
      </c>
      <c r="F43">
        <v>8901</v>
      </c>
      <c r="G43">
        <v>3362</v>
      </c>
      <c r="H43">
        <v>4</v>
      </c>
    </row>
    <row r="44" spans="1:8" x14ac:dyDescent="0.3">
      <c r="A44" t="s">
        <v>69</v>
      </c>
      <c r="B44" s="16">
        <v>46041</v>
      </c>
      <c r="C44" t="s">
        <v>34</v>
      </c>
      <c r="D44" t="s">
        <v>70</v>
      </c>
      <c r="E44" t="s">
        <v>17</v>
      </c>
      <c r="F44">
        <v>14248</v>
      </c>
      <c r="G44">
        <v>4338</v>
      </c>
      <c r="H44">
        <v>3</v>
      </c>
    </row>
    <row r="45" spans="1:8" x14ac:dyDescent="0.3">
      <c r="A45" t="s">
        <v>71</v>
      </c>
      <c r="B45" s="16">
        <v>46052</v>
      </c>
      <c r="C45" t="s">
        <v>9</v>
      </c>
      <c r="D45" t="s">
        <v>10</v>
      </c>
      <c r="E45" t="s">
        <v>17</v>
      </c>
      <c r="F45">
        <v>6982</v>
      </c>
      <c r="G45">
        <v>4562</v>
      </c>
      <c r="H45">
        <v>4</v>
      </c>
    </row>
    <row r="46" spans="1:8" x14ac:dyDescent="0.3">
      <c r="A46" t="s">
        <v>72</v>
      </c>
      <c r="B46" s="16">
        <v>46107</v>
      </c>
      <c r="C46" t="s">
        <v>9</v>
      </c>
      <c r="D46" t="s">
        <v>16</v>
      </c>
      <c r="E46" t="s">
        <v>32</v>
      </c>
      <c r="F46">
        <v>1798</v>
      </c>
      <c r="G46">
        <v>327</v>
      </c>
      <c r="H46">
        <v>3</v>
      </c>
    </row>
    <row r="47" spans="1:8" x14ac:dyDescent="0.3">
      <c r="A47" t="s">
        <v>73</v>
      </c>
      <c r="B47" s="16">
        <v>46102</v>
      </c>
      <c r="C47" t="s">
        <v>34</v>
      </c>
      <c r="D47" t="s">
        <v>35</v>
      </c>
      <c r="E47" t="s">
        <v>38</v>
      </c>
      <c r="F47">
        <v>10577</v>
      </c>
      <c r="G47">
        <v>692</v>
      </c>
      <c r="H47">
        <v>10</v>
      </c>
    </row>
    <row r="48" spans="1:8" x14ac:dyDescent="0.3">
      <c r="A48" t="s">
        <v>74</v>
      </c>
      <c r="B48" s="16">
        <v>46121</v>
      </c>
      <c r="C48" t="s">
        <v>19</v>
      </c>
      <c r="D48" t="s">
        <v>23</v>
      </c>
      <c r="E48" t="s">
        <v>32</v>
      </c>
      <c r="F48">
        <v>17888</v>
      </c>
      <c r="G48">
        <v>2664</v>
      </c>
      <c r="H48">
        <v>8</v>
      </c>
    </row>
    <row r="49" spans="1:8" x14ac:dyDescent="0.3">
      <c r="A49" t="s">
        <v>75</v>
      </c>
      <c r="B49" s="16">
        <v>46028</v>
      </c>
      <c r="C49" t="s">
        <v>34</v>
      </c>
      <c r="D49" t="s">
        <v>70</v>
      </c>
      <c r="E49" t="s">
        <v>32</v>
      </c>
      <c r="F49">
        <v>4371</v>
      </c>
      <c r="G49">
        <v>3740</v>
      </c>
      <c r="H49">
        <v>5</v>
      </c>
    </row>
    <row r="50" spans="1:8" x14ac:dyDescent="0.3">
      <c r="A50" t="s">
        <v>76</v>
      </c>
      <c r="B50" s="16">
        <v>46065</v>
      </c>
      <c r="C50" t="s">
        <v>19</v>
      </c>
      <c r="D50" t="s">
        <v>26</v>
      </c>
      <c r="E50" t="s">
        <v>11</v>
      </c>
      <c r="F50">
        <v>13021</v>
      </c>
      <c r="G50">
        <v>4989</v>
      </c>
      <c r="H50">
        <v>7</v>
      </c>
    </row>
    <row r="51" spans="1:8" x14ac:dyDescent="0.3">
      <c r="A51" t="s">
        <v>77</v>
      </c>
      <c r="B51" s="16">
        <v>46136</v>
      </c>
      <c r="C51" t="s">
        <v>34</v>
      </c>
      <c r="D51" t="s">
        <v>41</v>
      </c>
      <c r="E51" t="s">
        <v>32</v>
      </c>
      <c r="F51">
        <v>17907</v>
      </c>
      <c r="G51">
        <v>3137</v>
      </c>
      <c r="H51">
        <v>9</v>
      </c>
    </row>
    <row r="52" spans="1:8" x14ac:dyDescent="0.3">
      <c r="A52" t="s">
        <v>78</v>
      </c>
      <c r="B52" s="16">
        <v>46029</v>
      </c>
      <c r="C52" t="s">
        <v>34</v>
      </c>
      <c r="D52" t="s">
        <v>70</v>
      </c>
      <c r="E52" t="s">
        <v>11</v>
      </c>
      <c r="F52">
        <v>9879</v>
      </c>
      <c r="G52">
        <v>2726</v>
      </c>
      <c r="H52">
        <v>1</v>
      </c>
    </row>
    <row r="53" spans="1:8" x14ac:dyDescent="0.3">
      <c r="A53" t="s">
        <v>79</v>
      </c>
      <c r="B53" s="16">
        <v>46111</v>
      </c>
      <c r="C53" t="s">
        <v>19</v>
      </c>
      <c r="D53" t="s">
        <v>20</v>
      </c>
      <c r="E53" t="s">
        <v>32</v>
      </c>
      <c r="F53">
        <v>18097</v>
      </c>
      <c r="G53">
        <v>2885</v>
      </c>
      <c r="H53">
        <v>10</v>
      </c>
    </row>
    <row r="54" spans="1:8" x14ac:dyDescent="0.3">
      <c r="A54" t="s">
        <v>80</v>
      </c>
      <c r="B54" s="16">
        <v>46093</v>
      </c>
      <c r="C54" t="s">
        <v>9</v>
      </c>
      <c r="D54" t="s">
        <v>16</v>
      </c>
      <c r="E54" t="s">
        <v>32</v>
      </c>
      <c r="F54">
        <v>14673</v>
      </c>
      <c r="G54">
        <v>705</v>
      </c>
      <c r="H54">
        <v>1</v>
      </c>
    </row>
    <row r="55" spans="1:8" x14ac:dyDescent="0.3">
      <c r="A55" t="s">
        <v>81</v>
      </c>
      <c r="B55" s="16">
        <v>46129</v>
      </c>
      <c r="C55" t="s">
        <v>9</v>
      </c>
      <c r="D55" t="s">
        <v>58</v>
      </c>
      <c r="E55" t="s">
        <v>17</v>
      </c>
      <c r="F55">
        <v>8712</v>
      </c>
      <c r="G55">
        <v>408</v>
      </c>
      <c r="H55">
        <v>1</v>
      </c>
    </row>
    <row r="56" spans="1:8" x14ac:dyDescent="0.3">
      <c r="A56" t="s">
        <v>82</v>
      </c>
      <c r="B56" s="16">
        <v>46039</v>
      </c>
      <c r="C56" t="s">
        <v>9</v>
      </c>
      <c r="D56" t="s">
        <v>13</v>
      </c>
      <c r="E56" t="s">
        <v>32</v>
      </c>
      <c r="F56">
        <v>17607</v>
      </c>
      <c r="G56">
        <v>1762</v>
      </c>
      <c r="H56">
        <v>8</v>
      </c>
    </row>
    <row r="57" spans="1:8" x14ac:dyDescent="0.3">
      <c r="A57" t="s">
        <v>83</v>
      </c>
      <c r="B57" s="16">
        <v>46124</v>
      </c>
      <c r="C57" t="s">
        <v>9</v>
      </c>
      <c r="D57" t="s">
        <v>58</v>
      </c>
      <c r="E57" t="s">
        <v>38</v>
      </c>
      <c r="F57">
        <v>3250</v>
      </c>
      <c r="G57">
        <v>1175</v>
      </c>
      <c r="H57">
        <v>6</v>
      </c>
    </row>
    <row r="58" spans="1:8" x14ac:dyDescent="0.3">
      <c r="A58" t="s">
        <v>84</v>
      </c>
      <c r="B58" s="16">
        <v>46026</v>
      </c>
      <c r="C58" t="s">
        <v>34</v>
      </c>
      <c r="D58" t="s">
        <v>41</v>
      </c>
      <c r="E58" t="s">
        <v>32</v>
      </c>
      <c r="F58">
        <v>15852</v>
      </c>
      <c r="G58">
        <v>1366</v>
      </c>
      <c r="H58">
        <v>3</v>
      </c>
    </row>
    <row r="59" spans="1:8" x14ac:dyDescent="0.3">
      <c r="A59" t="s">
        <v>85</v>
      </c>
      <c r="B59" s="16">
        <v>46080</v>
      </c>
      <c r="C59" t="s">
        <v>19</v>
      </c>
      <c r="D59" t="s">
        <v>20</v>
      </c>
      <c r="E59" t="s">
        <v>14</v>
      </c>
      <c r="F59">
        <v>17060</v>
      </c>
      <c r="G59">
        <v>2600</v>
      </c>
      <c r="H59">
        <v>2</v>
      </c>
    </row>
    <row r="60" spans="1:8" x14ac:dyDescent="0.3">
      <c r="A60" t="s">
        <v>86</v>
      </c>
      <c r="B60" s="16">
        <v>46035</v>
      </c>
      <c r="C60" t="s">
        <v>9</v>
      </c>
      <c r="D60" t="s">
        <v>58</v>
      </c>
      <c r="E60" t="s">
        <v>38</v>
      </c>
      <c r="F60">
        <v>9586</v>
      </c>
      <c r="G60">
        <v>1454</v>
      </c>
      <c r="H60">
        <v>5</v>
      </c>
    </row>
    <row r="61" spans="1:8" x14ac:dyDescent="0.3">
      <c r="A61" t="s">
        <v>87</v>
      </c>
      <c r="B61" s="16">
        <v>46055</v>
      </c>
      <c r="C61" t="s">
        <v>34</v>
      </c>
      <c r="D61" t="s">
        <v>70</v>
      </c>
      <c r="E61" t="s">
        <v>11</v>
      </c>
      <c r="F61">
        <v>18209</v>
      </c>
      <c r="G61">
        <v>484</v>
      </c>
      <c r="H61">
        <v>6</v>
      </c>
    </row>
    <row r="62" spans="1:8" x14ac:dyDescent="0.3">
      <c r="A62" t="s">
        <v>88</v>
      </c>
      <c r="B62" s="16">
        <v>46085</v>
      </c>
      <c r="C62" t="s">
        <v>9</v>
      </c>
      <c r="D62" t="s">
        <v>16</v>
      </c>
      <c r="E62" t="s">
        <v>38</v>
      </c>
      <c r="F62">
        <v>15006</v>
      </c>
      <c r="G62">
        <v>3535</v>
      </c>
      <c r="H62">
        <v>3</v>
      </c>
    </row>
    <row r="63" spans="1:8" x14ac:dyDescent="0.3">
      <c r="A63" t="s">
        <v>89</v>
      </c>
      <c r="B63" s="16">
        <v>46124</v>
      </c>
      <c r="C63" t="s">
        <v>9</v>
      </c>
      <c r="D63" t="s">
        <v>10</v>
      </c>
      <c r="E63" t="s">
        <v>32</v>
      </c>
      <c r="F63">
        <v>6990</v>
      </c>
      <c r="G63">
        <v>2010</v>
      </c>
      <c r="H63">
        <v>6</v>
      </c>
    </row>
    <row r="64" spans="1:8" x14ac:dyDescent="0.3">
      <c r="A64" t="s">
        <v>90</v>
      </c>
      <c r="B64" s="16">
        <v>46045</v>
      </c>
      <c r="C64" t="s">
        <v>9</v>
      </c>
      <c r="D64" t="s">
        <v>16</v>
      </c>
      <c r="E64" t="s">
        <v>11</v>
      </c>
      <c r="F64">
        <v>17779</v>
      </c>
      <c r="G64">
        <v>4670</v>
      </c>
      <c r="H64">
        <v>2</v>
      </c>
    </row>
    <row r="65" spans="1:8" x14ac:dyDescent="0.3">
      <c r="A65" t="s">
        <v>91</v>
      </c>
      <c r="B65" s="16">
        <v>46101</v>
      </c>
      <c r="C65" t="s">
        <v>34</v>
      </c>
      <c r="D65" t="s">
        <v>70</v>
      </c>
      <c r="E65" t="s">
        <v>14</v>
      </c>
      <c r="F65">
        <v>13849</v>
      </c>
      <c r="G65">
        <v>1599</v>
      </c>
      <c r="H65">
        <v>10</v>
      </c>
    </row>
    <row r="66" spans="1:8" x14ac:dyDescent="0.3">
      <c r="A66" t="s">
        <v>92</v>
      </c>
      <c r="B66" s="16">
        <v>46114</v>
      </c>
      <c r="C66" t="s">
        <v>19</v>
      </c>
      <c r="D66" t="s">
        <v>20</v>
      </c>
      <c r="E66" t="s">
        <v>32</v>
      </c>
      <c r="F66">
        <v>16461</v>
      </c>
      <c r="G66">
        <v>4725</v>
      </c>
      <c r="H66">
        <v>2</v>
      </c>
    </row>
    <row r="67" spans="1:8" x14ac:dyDescent="0.3">
      <c r="A67" t="s">
        <v>93</v>
      </c>
      <c r="B67" s="16">
        <v>46120</v>
      </c>
      <c r="C67" t="s">
        <v>34</v>
      </c>
      <c r="D67" t="s">
        <v>70</v>
      </c>
      <c r="E67" t="s">
        <v>14</v>
      </c>
      <c r="F67">
        <v>5354</v>
      </c>
      <c r="G67">
        <v>2021</v>
      </c>
      <c r="H67">
        <v>9</v>
      </c>
    </row>
    <row r="68" spans="1:8" x14ac:dyDescent="0.3">
      <c r="A68" t="s">
        <v>94</v>
      </c>
      <c r="B68" s="16">
        <v>46026</v>
      </c>
      <c r="C68" t="s">
        <v>19</v>
      </c>
      <c r="D68" t="s">
        <v>30</v>
      </c>
      <c r="E68" t="s">
        <v>38</v>
      </c>
      <c r="F68">
        <v>3758</v>
      </c>
      <c r="G68">
        <v>2205</v>
      </c>
      <c r="H68">
        <v>8</v>
      </c>
    </row>
    <row r="69" spans="1:8" x14ac:dyDescent="0.3">
      <c r="A69" t="s">
        <v>95</v>
      </c>
      <c r="B69" s="16">
        <v>46102</v>
      </c>
      <c r="C69" t="s">
        <v>34</v>
      </c>
      <c r="D69" t="s">
        <v>41</v>
      </c>
      <c r="E69" t="s">
        <v>17</v>
      </c>
      <c r="F69">
        <v>15155</v>
      </c>
      <c r="G69">
        <v>1746</v>
      </c>
      <c r="H69">
        <v>6</v>
      </c>
    </row>
    <row r="70" spans="1:8" x14ac:dyDescent="0.3">
      <c r="A70" t="s">
        <v>96</v>
      </c>
      <c r="B70" s="16">
        <v>46052</v>
      </c>
      <c r="C70" t="s">
        <v>19</v>
      </c>
      <c r="D70" t="s">
        <v>20</v>
      </c>
      <c r="E70" t="s">
        <v>11</v>
      </c>
      <c r="F70">
        <v>2344</v>
      </c>
      <c r="G70">
        <v>426</v>
      </c>
      <c r="H70">
        <v>5</v>
      </c>
    </row>
    <row r="71" spans="1:8" x14ac:dyDescent="0.3">
      <c r="A71" t="s">
        <v>97</v>
      </c>
      <c r="B71" s="16">
        <v>46023</v>
      </c>
      <c r="C71" t="s">
        <v>34</v>
      </c>
      <c r="D71" t="s">
        <v>35</v>
      </c>
      <c r="E71" t="s">
        <v>32</v>
      </c>
      <c r="F71">
        <v>18736</v>
      </c>
      <c r="G71">
        <v>2778</v>
      </c>
      <c r="H71">
        <v>2</v>
      </c>
    </row>
    <row r="72" spans="1:8" x14ac:dyDescent="0.3">
      <c r="A72" t="s">
        <v>98</v>
      </c>
      <c r="B72" s="16">
        <v>46049</v>
      </c>
      <c r="C72" t="s">
        <v>19</v>
      </c>
      <c r="D72" t="s">
        <v>23</v>
      </c>
      <c r="E72" t="s">
        <v>32</v>
      </c>
      <c r="F72">
        <v>15233</v>
      </c>
      <c r="G72">
        <v>3831</v>
      </c>
      <c r="H72">
        <v>4</v>
      </c>
    </row>
    <row r="73" spans="1:8" x14ac:dyDescent="0.3">
      <c r="A73" t="s">
        <v>99</v>
      </c>
      <c r="B73" s="16">
        <v>46107</v>
      </c>
      <c r="C73" t="s">
        <v>19</v>
      </c>
      <c r="D73" t="s">
        <v>23</v>
      </c>
      <c r="E73" t="s">
        <v>32</v>
      </c>
      <c r="F73">
        <v>19546</v>
      </c>
      <c r="G73">
        <v>1786</v>
      </c>
      <c r="H73">
        <v>1</v>
      </c>
    </row>
    <row r="74" spans="1:8" x14ac:dyDescent="0.3">
      <c r="A74" t="s">
        <v>100</v>
      </c>
      <c r="B74" s="16">
        <v>46135</v>
      </c>
      <c r="C74" t="s">
        <v>34</v>
      </c>
      <c r="D74" t="s">
        <v>35</v>
      </c>
      <c r="E74" t="s">
        <v>32</v>
      </c>
      <c r="F74">
        <v>17675</v>
      </c>
      <c r="G74">
        <v>4795</v>
      </c>
      <c r="H74">
        <v>1</v>
      </c>
    </row>
    <row r="75" spans="1:8" x14ac:dyDescent="0.3">
      <c r="A75" t="s">
        <v>101</v>
      </c>
      <c r="B75" s="16">
        <v>46094</v>
      </c>
      <c r="C75" t="s">
        <v>34</v>
      </c>
      <c r="D75" t="s">
        <v>70</v>
      </c>
      <c r="E75" t="s">
        <v>17</v>
      </c>
      <c r="F75">
        <v>12403</v>
      </c>
      <c r="G75">
        <v>4668</v>
      </c>
      <c r="H75">
        <v>5</v>
      </c>
    </row>
    <row r="76" spans="1:8" x14ac:dyDescent="0.3">
      <c r="A76" t="s">
        <v>102</v>
      </c>
      <c r="B76" s="16">
        <v>46093</v>
      </c>
      <c r="C76" t="s">
        <v>9</v>
      </c>
      <c r="D76" t="s">
        <v>58</v>
      </c>
      <c r="E76" t="s">
        <v>38</v>
      </c>
      <c r="F76">
        <v>9512</v>
      </c>
      <c r="G76">
        <v>108</v>
      </c>
      <c r="H76">
        <v>2</v>
      </c>
    </row>
    <row r="77" spans="1:8" x14ac:dyDescent="0.3">
      <c r="A77" t="s">
        <v>103</v>
      </c>
      <c r="B77" s="16">
        <v>46088</v>
      </c>
      <c r="C77" t="s">
        <v>19</v>
      </c>
      <c r="D77" t="s">
        <v>26</v>
      </c>
      <c r="E77" t="s">
        <v>38</v>
      </c>
      <c r="F77">
        <v>15874</v>
      </c>
      <c r="G77">
        <v>3290</v>
      </c>
      <c r="H77">
        <v>2</v>
      </c>
    </row>
    <row r="78" spans="1:8" x14ac:dyDescent="0.3">
      <c r="A78" t="s">
        <v>104</v>
      </c>
      <c r="B78" s="16">
        <v>46112</v>
      </c>
      <c r="C78" t="s">
        <v>9</v>
      </c>
      <c r="D78" t="s">
        <v>10</v>
      </c>
      <c r="E78" t="s">
        <v>14</v>
      </c>
      <c r="F78">
        <v>13889</v>
      </c>
      <c r="G78">
        <v>1406</v>
      </c>
      <c r="H78">
        <v>5</v>
      </c>
    </row>
    <row r="79" spans="1:8" x14ac:dyDescent="0.3">
      <c r="A79" t="s">
        <v>105</v>
      </c>
      <c r="B79" s="16">
        <v>46087</v>
      </c>
      <c r="C79" t="s">
        <v>19</v>
      </c>
      <c r="D79" t="s">
        <v>26</v>
      </c>
      <c r="E79" t="s">
        <v>14</v>
      </c>
      <c r="F79">
        <v>18293</v>
      </c>
      <c r="G79">
        <v>2422</v>
      </c>
      <c r="H79">
        <v>1</v>
      </c>
    </row>
    <row r="80" spans="1:8" x14ac:dyDescent="0.3">
      <c r="A80" t="s">
        <v>106</v>
      </c>
      <c r="B80" s="16">
        <v>46069</v>
      </c>
      <c r="C80" t="s">
        <v>9</v>
      </c>
      <c r="D80" t="s">
        <v>10</v>
      </c>
      <c r="E80" t="s">
        <v>38</v>
      </c>
      <c r="F80">
        <v>9925</v>
      </c>
      <c r="G80">
        <v>2064</v>
      </c>
      <c r="H80">
        <v>5</v>
      </c>
    </row>
    <row r="81" spans="1:8" x14ac:dyDescent="0.3">
      <c r="A81" t="s">
        <v>107</v>
      </c>
      <c r="B81" s="16">
        <v>46042</v>
      </c>
      <c r="C81" t="s">
        <v>19</v>
      </c>
      <c r="D81" t="s">
        <v>30</v>
      </c>
      <c r="E81" t="s">
        <v>38</v>
      </c>
      <c r="F81">
        <v>2943</v>
      </c>
      <c r="G81">
        <v>2927</v>
      </c>
      <c r="H81">
        <v>7</v>
      </c>
    </row>
    <row r="82" spans="1:8" x14ac:dyDescent="0.3">
      <c r="A82" t="s">
        <v>108</v>
      </c>
      <c r="B82" s="16">
        <v>46052</v>
      </c>
      <c r="C82" t="s">
        <v>19</v>
      </c>
      <c r="D82" t="s">
        <v>30</v>
      </c>
      <c r="E82" t="s">
        <v>11</v>
      </c>
      <c r="F82">
        <v>16338</v>
      </c>
      <c r="G82">
        <v>4647</v>
      </c>
      <c r="H82">
        <v>4</v>
      </c>
    </row>
    <row r="83" spans="1:8" x14ac:dyDescent="0.3">
      <c r="A83" t="s">
        <v>109</v>
      </c>
      <c r="B83" s="16">
        <v>46084</v>
      </c>
      <c r="C83" t="s">
        <v>19</v>
      </c>
      <c r="D83" t="s">
        <v>20</v>
      </c>
      <c r="E83" t="s">
        <v>38</v>
      </c>
      <c r="F83">
        <v>17108</v>
      </c>
      <c r="G83">
        <v>553</v>
      </c>
      <c r="H83">
        <v>9</v>
      </c>
    </row>
    <row r="84" spans="1:8" x14ac:dyDescent="0.3">
      <c r="A84" t="s">
        <v>110</v>
      </c>
      <c r="B84" s="16">
        <v>46035</v>
      </c>
      <c r="C84" t="s">
        <v>34</v>
      </c>
      <c r="D84" t="s">
        <v>35</v>
      </c>
      <c r="E84" t="s">
        <v>11</v>
      </c>
      <c r="F84">
        <v>12730</v>
      </c>
      <c r="G84">
        <v>2530</v>
      </c>
      <c r="H84">
        <v>7</v>
      </c>
    </row>
    <row r="85" spans="1:8" x14ac:dyDescent="0.3">
      <c r="A85" t="s">
        <v>111</v>
      </c>
      <c r="B85" s="16">
        <v>46073</v>
      </c>
      <c r="C85" t="s">
        <v>9</v>
      </c>
      <c r="D85" t="s">
        <v>10</v>
      </c>
      <c r="E85" t="s">
        <v>32</v>
      </c>
      <c r="F85">
        <v>17809</v>
      </c>
      <c r="G85">
        <v>1407</v>
      </c>
      <c r="H85">
        <v>10</v>
      </c>
    </row>
    <row r="86" spans="1:8" x14ac:dyDescent="0.3">
      <c r="A86" t="s">
        <v>112</v>
      </c>
      <c r="B86" s="16">
        <v>46024</v>
      </c>
      <c r="C86" t="s">
        <v>34</v>
      </c>
      <c r="D86" t="s">
        <v>35</v>
      </c>
      <c r="E86" t="s">
        <v>38</v>
      </c>
      <c r="F86">
        <v>9762</v>
      </c>
      <c r="G86">
        <v>3936</v>
      </c>
      <c r="H86">
        <v>9</v>
      </c>
    </row>
    <row r="87" spans="1:8" x14ac:dyDescent="0.3">
      <c r="A87" t="s">
        <v>113</v>
      </c>
      <c r="B87" s="16">
        <v>46049</v>
      </c>
      <c r="C87" t="s">
        <v>9</v>
      </c>
      <c r="D87" t="s">
        <v>10</v>
      </c>
      <c r="E87" t="s">
        <v>38</v>
      </c>
      <c r="F87">
        <v>17577</v>
      </c>
      <c r="G87">
        <v>2016</v>
      </c>
      <c r="H87">
        <v>7</v>
      </c>
    </row>
    <row r="88" spans="1:8" x14ac:dyDescent="0.3">
      <c r="A88" t="s">
        <v>114</v>
      </c>
      <c r="B88" s="16">
        <v>46105</v>
      </c>
      <c r="C88" t="s">
        <v>19</v>
      </c>
      <c r="D88" t="s">
        <v>23</v>
      </c>
      <c r="E88" t="s">
        <v>14</v>
      </c>
      <c r="F88">
        <v>4092</v>
      </c>
      <c r="G88">
        <v>1025</v>
      </c>
      <c r="H88">
        <v>6</v>
      </c>
    </row>
    <row r="89" spans="1:8" x14ac:dyDescent="0.3">
      <c r="A89" t="s">
        <v>115</v>
      </c>
      <c r="B89" s="16">
        <v>46064</v>
      </c>
      <c r="C89" t="s">
        <v>9</v>
      </c>
      <c r="D89" t="s">
        <v>13</v>
      </c>
      <c r="E89" t="s">
        <v>14</v>
      </c>
      <c r="F89">
        <v>2091</v>
      </c>
      <c r="G89">
        <v>3004</v>
      </c>
      <c r="H89">
        <v>7</v>
      </c>
    </row>
    <row r="90" spans="1:8" x14ac:dyDescent="0.3">
      <c r="A90" t="s">
        <v>116</v>
      </c>
      <c r="B90" s="16">
        <v>46094</v>
      </c>
      <c r="C90" t="s">
        <v>34</v>
      </c>
      <c r="D90" t="s">
        <v>70</v>
      </c>
      <c r="E90" t="s">
        <v>38</v>
      </c>
      <c r="F90">
        <v>8906</v>
      </c>
      <c r="G90">
        <v>3625</v>
      </c>
      <c r="H90">
        <v>9</v>
      </c>
    </row>
    <row r="91" spans="1:8" x14ac:dyDescent="0.3">
      <c r="A91" t="s">
        <v>117</v>
      </c>
      <c r="B91" s="16">
        <v>46132</v>
      </c>
      <c r="C91" t="s">
        <v>34</v>
      </c>
      <c r="D91" t="s">
        <v>37</v>
      </c>
      <c r="E91" t="s">
        <v>17</v>
      </c>
      <c r="F91">
        <v>18969</v>
      </c>
      <c r="G91">
        <v>3751</v>
      </c>
      <c r="H91">
        <v>5</v>
      </c>
    </row>
    <row r="92" spans="1:8" x14ac:dyDescent="0.3">
      <c r="A92" t="s">
        <v>118</v>
      </c>
      <c r="B92" s="16">
        <v>46028</v>
      </c>
      <c r="C92" t="s">
        <v>19</v>
      </c>
      <c r="D92" t="s">
        <v>23</v>
      </c>
      <c r="E92" t="s">
        <v>17</v>
      </c>
      <c r="F92">
        <v>17834</v>
      </c>
      <c r="G92">
        <v>2244</v>
      </c>
      <c r="H92">
        <v>1</v>
      </c>
    </row>
    <row r="93" spans="1:8" x14ac:dyDescent="0.3">
      <c r="A93" t="s">
        <v>119</v>
      </c>
      <c r="B93" s="16">
        <v>46143</v>
      </c>
      <c r="C93" t="s">
        <v>34</v>
      </c>
      <c r="D93" t="s">
        <v>35</v>
      </c>
      <c r="E93" t="s">
        <v>38</v>
      </c>
      <c r="F93">
        <v>15745</v>
      </c>
      <c r="G93">
        <v>4132</v>
      </c>
      <c r="H93">
        <v>2</v>
      </c>
    </row>
    <row r="94" spans="1:8" x14ac:dyDescent="0.3">
      <c r="A94" t="s">
        <v>120</v>
      </c>
      <c r="B94" s="16">
        <v>46100</v>
      </c>
      <c r="C94" t="s">
        <v>9</v>
      </c>
      <c r="D94" t="s">
        <v>10</v>
      </c>
      <c r="E94" t="s">
        <v>38</v>
      </c>
      <c r="F94">
        <v>7034</v>
      </c>
      <c r="G94">
        <v>4847</v>
      </c>
      <c r="H94">
        <v>1</v>
      </c>
    </row>
    <row r="95" spans="1:8" x14ac:dyDescent="0.3">
      <c r="A95" t="s">
        <v>121</v>
      </c>
      <c r="B95" s="16">
        <v>46121</v>
      </c>
      <c r="C95" t="s">
        <v>9</v>
      </c>
      <c r="D95" t="s">
        <v>13</v>
      </c>
      <c r="E95" t="s">
        <v>11</v>
      </c>
      <c r="F95">
        <v>10307</v>
      </c>
      <c r="G95">
        <v>4123</v>
      </c>
      <c r="H95">
        <v>3</v>
      </c>
    </row>
    <row r="96" spans="1:8" x14ac:dyDescent="0.3">
      <c r="A96" t="s">
        <v>122</v>
      </c>
      <c r="B96" s="16">
        <v>46079</v>
      </c>
      <c r="C96" t="s">
        <v>9</v>
      </c>
      <c r="D96" t="s">
        <v>58</v>
      </c>
      <c r="E96" t="s">
        <v>32</v>
      </c>
      <c r="F96">
        <v>14398</v>
      </c>
      <c r="G96">
        <v>695</v>
      </c>
      <c r="H96">
        <v>7</v>
      </c>
    </row>
    <row r="97" spans="1:8" x14ac:dyDescent="0.3">
      <c r="A97" t="s">
        <v>123</v>
      </c>
      <c r="B97" s="16">
        <v>46128</v>
      </c>
      <c r="C97" t="s">
        <v>9</v>
      </c>
      <c r="D97" t="s">
        <v>10</v>
      </c>
      <c r="E97" t="s">
        <v>38</v>
      </c>
      <c r="F97">
        <v>19333</v>
      </c>
      <c r="G97">
        <v>2587</v>
      </c>
      <c r="H97">
        <v>1</v>
      </c>
    </row>
    <row r="98" spans="1:8" x14ac:dyDescent="0.3">
      <c r="A98" t="s">
        <v>124</v>
      </c>
      <c r="B98" s="16">
        <v>46046</v>
      </c>
      <c r="C98" t="s">
        <v>19</v>
      </c>
      <c r="D98" t="s">
        <v>26</v>
      </c>
      <c r="E98" t="s">
        <v>17</v>
      </c>
      <c r="F98">
        <v>10430</v>
      </c>
      <c r="G98">
        <v>1583</v>
      </c>
      <c r="H98">
        <v>3</v>
      </c>
    </row>
    <row r="99" spans="1:8" x14ac:dyDescent="0.3">
      <c r="A99" t="s">
        <v>125</v>
      </c>
      <c r="B99" s="16">
        <v>46075</v>
      </c>
      <c r="C99" t="s">
        <v>19</v>
      </c>
      <c r="D99" t="s">
        <v>26</v>
      </c>
      <c r="E99" t="s">
        <v>38</v>
      </c>
      <c r="F99">
        <v>3653</v>
      </c>
      <c r="G99">
        <v>983</v>
      </c>
      <c r="H99">
        <v>5</v>
      </c>
    </row>
    <row r="100" spans="1:8" x14ac:dyDescent="0.3">
      <c r="A100" t="s">
        <v>126</v>
      </c>
      <c r="B100" s="16">
        <v>46139</v>
      </c>
      <c r="C100" t="s">
        <v>34</v>
      </c>
      <c r="D100" t="s">
        <v>37</v>
      </c>
      <c r="E100" t="s">
        <v>32</v>
      </c>
      <c r="F100">
        <v>1615</v>
      </c>
      <c r="G100">
        <v>623</v>
      </c>
      <c r="H100">
        <v>6</v>
      </c>
    </row>
    <row r="101" spans="1:8" x14ac:dyDescent="0.3">
      <c r="A101" t="s">
        <v>127</v>
      </c>
      <c r="B101" s="16">
        <v>46028</v>
      </c>
      <c r="C101" t="s">
        <v>34</v>
      </c>
      <c r="D101" t="s">
        <v>37</v>
      </c>
      <c r="E101" t="s">
        <v>38</v>
      </c>
      <c r="F101">
        <v>3699</v>
      </c>
      <c r="G101">
        <v>2487</v>
      </c>
      <c r="H10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4.4" x14ac:dyDescent="0.3"/>
  <cols>
    <col min="1" max="2" width="14" customWidth="1"/>
  </cols>
  <sheetData>
    <row r="1" spans="1:2" x14ac:dyDescent="0.3">
      <c r="A1" t="s">
        <v>128</v>
      </c>
      <c r="B1" t="s">
        <v>129</v>
      </c>
    </row>
    <row r="2" spans="1:2" x14ac:dyDescent="0.3">
      <c r="A2" t="s">
        <v>130</v>
      </c>
      <c r="B2">
        <v>1000000</v>
      </c>
    </row>
    <row r="3" spans="1:2" x14ac:dyDescent="0.3">
      <c r="A3" t="s">
        <v>131</v>
      </c>
      <c r="B3">
        <v>200000</v>
      </c>
    </row>
    <row r="4" spans="1:2" x14ac:dyDescent="0.3">
      <c r="A4" t="s">
        <v>132</v>
      </c>
      <c r="B4">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Sales_Data</vt:lpstr>
      <vt:lpstr>Targets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2026-05-15T05:43:41Z</dcterms:created>
  <dcterms:modified xsi:type="dcterms:W3CDTF">2026-05-15T06:59:07Z</dcterms:modified>
</cp:coreProperties>
</file>