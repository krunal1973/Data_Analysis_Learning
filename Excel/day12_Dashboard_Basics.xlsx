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taAnalytics\learning\"/>
    </mc:Choice>
  </mc:AlternateContent>
  <xr:revisionPtr revIDLastSave="0" documentId="13_ncr:1_{3CCF2E2E-5910-4FB8-923D-717EC7567910}" xr6:coauthVersionLast="47" xr6:coauthVersionMax="47" xr10:uidLastSave="{00000000-0000-0000-0000-000000000000}"/>
  <bookViews>
    <workbookView xWindow="-108" yWindow="-108" windowWidth="23256" windowHeight="12456" activeTab="1" xr2:uid="{00000000-000D-0000-FFFF-FFFF00000000}"/>
  </bookViews>
  <sheets>
    <sheet name="Sheet1" sheetId="3" r:id="rId1"/>
    <sheet name="Dashboard" sheetId="4" r:id="rId2"/>
    <sheet name="SalesData" sheetId="1" r:id="rId3"/>
    <sheet name="PracticeTasks" sheetId="2" r:id="rId4"/>
  </sheets>
  <definedNames>
    <definedName name="Slicer_Category">#N/A</definedName>
    <definedName name="Slicer_Cit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N7" i="4" l="1"/>
  <c r="J7" i="4"/>
  <c r="F7" i="4"/>
  <c r="B7" i="4"/>
</calcChain>
</file>

<file path=xl/sharedStrings.xml><?xml version="1.0" encoding="utf-8"?>
<sst xmlns="http://schemas.openxmlformats.org/spreadsheetml/2006/main" count="434" uniqueCount="104">
  <si>
    <t>OrderID</t>
  </si>
  <si>
    <t>Date</t>
  </si>
  <si>
    <t>City</t>
  </si>
  <si>
    <t>Category</t>
  </si>
  <si>
    <t>Product</t>
  </si>
  <si>
    <t>Sales</t>
  </si>
  <si>
    <t>Profit</t>
  </si>
  <si>
    <t>Quantity</t>
  </si>
  <si>
    <t>2026-04-23</t>
  </si>
  <si>
    <t>Ahmedabad</t>
  </si>
  <si>
    <t>Clothing</t>
  </si>
  <si>
    <t>Jacket</t>
  </si>
  <si>
    <t>2026-02-02</t>
  </si>
  <si>
    <t>Delhi</t>
  </si>
  <si>
    <t>Electronics</t>
  </si>
  <si>
    <t>Laptop</t>
  </si>
  <si>
    <t>2026-04-24</t>
  </si>
  <si>
    <t>Furniture</t>
  </si>
  <si>
    <t>Sofa</t>
  </si>
  <si>
    <t>2026-02-25</t>
  </si>
  <si>
    <t>Pune</t>
  </si>
  <si>
    <t>Table</t>
  </si>
  <si>
    <t>2026-01-13</t>
  </si>
  <si>
    <t>Bangalore</t>
  </si>
  <si>
    <t>Mobile</t>
  </si>
  <si>
    <t>2026-02-21</t>
  </si>
  <si>
    <t>2026-01-23</t>
  </si>
  <si>
    <t>T-Shirt</t>
  </si>
  <si>
    <t>2026-02-18</t>
  </si>
  <si>
    <t>Chair</t>
  </si>
  <si>
    <t>2026-04-21</t>
  </si>
  <si>
    <t>2026-02-23</t>
  </si>
  <si>
    <t>2026-01-29</t>
  </si>
  <si>
    <t>2026-03-08</t>
  </si>
  <si>
    <t>Jeans</t>
  </si>
  <si>
    <t>2026-04-07</t>
  </si>
  <si>
    <t>Tablet</t>
  </si>
  <si>
    <t>2026-04-18</t>
  </si>
  <si>
    <t>Mumbai</t>
  </si>
  <si>
    <t>2026-04-30</t>
  </si>
  <si>
    <t>2026-03-29</t>
  </si>
  <si>
    <t>2026-03-07</t>
  </si>
  <si>
    <t>2026-02-07</t>
  </si>
  <si>
    <t>2026-01-01</t>
  </si>
  <si>
    <t>2026-01-22</t>
  </si>
  <si>
    <t>2026-04-26</t>
  </si>
  <si>
    <t>2026-03-20</t>
  </si>
  <si>
    <t>2026-03-23</t>
  </si>
  <si>
    <t>2026-02-24</t>
  </si>
  <si>
    <t>2026-02-28</t>
  </si>
  <si>
    <t>2026-03-12</t>
  </si>
  <si>
    <t>2026-01-28</t>
  </si>
  <si>
    <t>2026-01-24</t>
  </si>
  <si>
    <t>2026-04-25</t>
  </si>
  <si>
    <t>2026-04-15</t>
  </si>
  <si>
    <t>2026-04-08</t>
  </si>
  <si>
    <t>2026-04-20</t>
  </si>
  <si>
    <t>2026-03-22</t>
  </si>
  <si>
    <t>2026-01-20</t>
  </si>
  <si>
    <t>2026-03-13</t>
  </si>
  <si>
    <t>2026-01-21</t>
  </si>
  <si>
    <t>2026-01-12</t>
  </si>
  <si>
    <t>2026-04-05</t>
  </si>
  <si>
    <t>2026-03-28</t>
  </si>
  <si>
    <t>2026-02-26</t>
  </si>
  <si>
    <t>2026-04-14</t>
  </si>
  <si>
    <t>2026-01-11</t>
  </si>
  <si>
    <t>2026-02-01</t>
  </si>
  <si>
    <t>2026-04-01</t>
  </si>
  <si>
    <t>2026-01-05</t>
  </si>
  <si>
    <t>2026-01-30</t>
  </si>
  <si>
    <t>2026-03-16</t>
  </si>
  <si>
    <t>2026-01-06</t>
  </si>
  <si>
    <t>2026-03-26</t>
  </si>
  <si>
    <t>2026-01-09</t>
  </si>
  <si>
    <t>2026-03-01</t>
  </si>
  <si>
    <t>2026-04-04</t>
  </si>
  <si>
    <t>2026-04-22</t>
  </si>
  <si>
    <t>2026-03-14</t>
  </si>
  <si>
    <t>2026-04-17</t>
  </si>
  <si>
    <t>2026-04-13</t>
  </si>
  <si>
    <t>2026-05-01</t>
  </si>
  <si>
    <t>2026-02-03</t>
  </si>
  <si>
    <t>2026-02-14</t>
  </si>
  <si>
    <t>2026-03-03</t>
  </si>
  <si>
    <t>2026-02-27</t>
  </si>
  <si>
    <t>2026-03-25</t>
  </si>
  <si>
    <t>2026-01-25</t>
  </si>
  <si>
    <t>2026-03-04</t>
  </si>
  <si>
    <t>Day 12 - Dashboard Basics Practice</t>
  </si>
  <si>
    <t>1. Create Pivot Table for Total Sales by Category</t>
  </si>
  <si>
    <t>2. Create Pivot Table for Sales by City</t>
  </si>
  <si>
    <t>3. Create Bar Chart from Pivot Table</t>
  </si>
  <si>
    <t>4. Create KPI Cards for Total Sales and Total Profit</t>
  </si>
  <si>
    <t>5. Add Slicer for City or Category</t>
  </si>
  <si>
    <t>6. Create Dashboard Sheet and arrange charts + KPIs</t>
  </si>
  <si>
    <t>Row Labels</t>
  </si>
  <si>
    <t>Grand Total</t>
  </si>
  <si>
    <t>Sum of Sales</t>
  </si>
  <si>
    <t>Sales Performance Dashboard</t>
  </si>
  <si>
    <t>Total Sales</t>
  </si>
  <si>
    <t>Total Profit</t>
  </si>
  <si>
    <t>Total Orders</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</si>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</sst>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b/>
      <sz val="11"/>
      <name val="Calibri"/>
    </font>
    <font>
      <b/>
      <sz val="24"/>
      <color theme="0" tint="-4.9989318521683403E-2"/>
      <name val="Calibri"/>
      <family val="2"/>
      <scheme val="minor"/>
    </font>
    <font>
      <b/>
      <sz val="16"/>
      <color theme="0"/>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0" fontId="2" fillId="2" borderId="0" xfId="0" applyFont="1" applyFill="1" applyAlignment="1">
      <alignment horizontal="center" vertical="center"/>
    </xf>
    <xf numFmtId="0" fontId="0" fillId="3" borderId="0" xfId="0" applyFill="1"/>
    <xf numFmtId="0" fontId="3" fillId="2" borderId="0" xfId="0" applyFont="1" applyFill="1" applyAlignment="1">
      <alignment horizontal="center" vertical="center"/>
    </xf>
    <xf numFmtId="0" fontId="3" fillId="2" borderId="0" xfId="0" applyFont="1" applyFill="1" applyAlignment="1">
      <alignment horizontal="center"/>
    </xf>
  </cellXfs>
  <cellStyles count="1">
    <cellStyle name="Normal" xfId="0" builtinId="0"/>
  </cellStyles>
  <dxfs count="1">
    <dxf>
      <font>
        <b/>
        <i val="0"/>
        <strike val="0"/>
        <condense val="0"/>
        <extend val="0"/>
        <outline val="0"/>
        <shadow val="0"/>
        <u val="none"/>
        <vertAlign val="baseline"/>
        <sz val="11"/>
        <color auto="1"/>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[day12_Dashboard_Basics.xlsx]Sheet1!PivotTable1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Clothing</c:v>
                </c:pt>
                <c:pt idx="1">
                  <c:v>Electronics</c:v>
                </c:pt>
                <c:pt idx="2">
                  <c:v>Furniture</c:v>
                </c:pt>
              </c:strCache>
            </c:strRef>
          </c:cat>
          <c:val>
            <c:numRef>
              <c:f>Sheet1!$B$4:$B$7</c:f>
              <c:numCache>
                <c:formatCode>"₹"\ #,##0.00</c:formatCode>
                <c:ptCount val="3"/>
                <c:pt idx="0">
                  <c:v>65039</c:v>
                </c:pt>
                <c:pt idx="1">
                  <c:v>121104</c:v>
                </c:pt>
                <c:pt idx="2">
                  <c:v>67010</c:v>
                </c:pt>
              </c:numCache>
            </c:numRef>
          </c:val>
          <c:extLst>
            <c:ext xmlns:c16="http://schemas.microsoft.com/office/drawing/2014/chart" uri="{C3380CC4-5D6E-409C-BE32-E72D297353CC}">
              <c16:uniqueId val="{00000000-FD91-4771-B842-F776DAA63D4C}"/>
            </c:ext>
          </c:extLst>
        </c:ser>
        <c:dLbls>
          <c:dLblPos val="outEnd"/>
          <c:showLegendKey val="0"/>
          <c:showVal val="1"/>
          <c:showCatName val="0"/>
          <c:showSerName val="0"/>
          <c:showPercent val="0"/>
          <c:showBubbleSize val="0"/>
        </c:dLbls>
        <c:gapWidth val="219"/>
        <c:overlap val="-27"/>
        <c:axId val="1724988927"/>
        <c:axId val="1724989407"/>
      </c:barChart>
      <c:catAx>
        <c:axId val="172498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89407"/>
        <c:crosses val="autoZero"/>
        <c:auto val="1"/>
        <c:lblAlgn val="ctr"/>
        <c:lblOffset val="100"/>
        <c:noMultiLvlLbl val="0"/>
      </c:catAx>
      <c:valAx>
        <c:axId val="1724989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98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[day12_Dashboard_Basics.xlsx]Sheet1!PivotTable2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Sheet1!$A$10:$A$15</c:f>
              <c:strCache>
                <c:ptCount val="5"/>
                <c:pt idx="0">
                  <c:v>Ahmedabad</c:v>
                </c:pt>
                <c:pt idx="1">
                  <c:v>Bangalore</c:v>
                </c:pt>
                <c:pt idx="2">
                  <c:v>Delhi</c:v>
                </c:pt>
                <c:pt idx="3">
                  <c:v>Mumbai</c:v>
                </c:pt>
                <c:pt idx="4">
                  <c:v>Pune</c:v>
                </c:pt>
              </c:strCache>
            </c:strRef>
          </c:cat>
          <c:val>
            <c:numRef>
              <c:f>Sheet1!$B$10:$B$15</c:f>
              <c:numCache>
                <c:formatCode>"₹"\ #,##0.00</c:formatCode>
                <c:ptCount val="5"/>
                <c:pt idx="0">
                  <c:v>50168</c:v>
                </c:pt>
                <c:pt idx="1">
                  <c:v>53420</c:v>
                </c:pt>
                <c:pt idx="2">
                  <c:v>46363</c:v>
                </c:pt>
                <c:pt idx="3">
                  <c:v>52810</c:v>
                </c:pt>
                <c:pt idx="4">
                  <c:v>50392</c:v>
                </c:pt>
              </c:numCache>
            </c:numRef>
          </c:val>
          <c:extLst>
            <c:ext xmlns:c16="http://schemas.microsoft.com/office/drawing/2014/chart" uri="{C3380CC4-5D6E-409C-BE32-E72D297353CC}">
              <c16:uniqueId val="{00000000-72F4-44EE-B344-DA87DC38FF43}"/>
            </c:ext>
          </c:extLst>
        </c:ser>
        <c:dLbls>
          <c:dLblPos val="outEnd"/>
          <c:showLegendKey val="0"/>
          <c:showVal val="1"/>
          <c:showCatName val="0"/>
          <c:showSerName val="0"/>
          <c:showPercent val="0"/>
          <c:showBubbleSize val="0"/>
        </c:dLbls>
        <c:gapWidth val="219"/>
        <c:overlap val="-27"/>
        <c:axId val="904475727"/>
        <c:axId val="904472367"/>
      </c:barChart>
      <c:catAx>
        <c:axId val="90447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72367"/>
        <c:crosses val="autoZero"/>
        <c:auto val="1"/>
        <c:lblAlgn val="ctr"/>
        <c:lblOffset val="100"/>
        <c:noMultiLvlLbl val="0"/>
      </c:catAx>
      <c:valAx>
        <c:axId val="904472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7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7620</xdr:rowOff>
    </xdr:from>
    <xdr:to>
      <xdr:col>8</xdr:col>
      <xdr:colOff>7620</xdr:colOff>
      <xdr:row>25</xdr:row>
      <xdr:rowOff>7620</xdr:rowOff>
    </xdr:to>
    <xdr:graphicFrame macro="">
      <xdr:nvGraphicFramePr>
        <xdr:cNvPr id="2" name="Chart 1">
          <a:extLst>
            <a:ext uri="{FF2B5EF4-FFF2-40B4-BE49-F238E27FC236}">
              <a16:creationId xmlns:a16="http://schemas.microsoft.com/office/drawing/2014/main" id="{546341DC-8FF1-4611-863E-CF4F1E843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14</xdr:row>
      <xdr:rowOff>0</xdr:rowOff>
    </xdr:from>
    <xdr:to>
      <xdr:col>20</xdr:col>
      <xdr:colOff>1373</xdr:colOff>
      <xdr:row>24</xdr:row>
      <xdr:rowOff>7619</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F22BFAF1-FE19-1732-16B7-D37F04B680F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409464" y="2571750"/>
              <a:ext cx="1838338" cy="1844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xdr:colOff>
      <xdr:row>4</xdr:row>
      <xdr:rowOff>7620</xdr:rowOff>
    </xdr:from>
    <xdr:to>
      <xdr:col>20</xdr:col>
      <xdr:colOff>7620</xdr:colOff>
      <xdr:row>10</xdr:row>
      <xdr:rowOff>175259</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111AC35D-340C-D1B4-2931-90381E0E864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417084" y="742406"/>
              <a:ext cx="1836965" cy="1269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10</xdr:row>
      <xdr:rowOff>0</xdr:rowOff>
    </xdr:from>
    <xdr:to>
      <xdr:col>16</xdr:col>
      <xdr:colOff>30480</xdr:colOff>
      <xdr:row>25</xdr:row>
      <xdr:rowOff>0</xdr:rowOff>
    </xdr:to>
    <xdr:graphicFrame macro="">
      <xdr:nvGraphicFramePr>
        <xdr:cNvPr id="6" name="Chart 5">
          <a:extLst>
            <a:ext uri="{FF2B5EF4-FFF2-40B4-BE49-F238E27FC236}">
              <a16:creationId xmlns:a16="http://schemas.microsoft.com/office/drawing/2014/main" id="{999FC0DE-294E-4CFB-B5D9-DF6A8C93F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AL KRUNAL" refreshedDate="46154.465500810184" createdVersion="8" refreshedVersion="8" minRefreshableVersion="3" recordCount="100" xr:uid="{F97D79E6-F278-4603-8C4C-46B51BFDD03A}">
  <cacheSource type="worksheet">
    <worksheetSource name="Table1"/>
  </cacheSource>
  <cacheFields count="8">
    <cacheField name="OrderID" numFmtId="0">
      <sharedItems containsSemiMixedTypes="0" containsString="0" containsNumber="1" containsInteger="1" minValue="1002" maxValue="1101"/>
    </cacheField>
    <cacheField name="Date" numFmtId="0">
      <sharedItems/>
    </cacheField>
    <cacheField name="City" numFmtId="0">
      <sharedItems count="5">
        <s v="Ahmedabad"/>
        <s v="Delhi"/>
        <s v="Pune"/>
        <s v="Bangalore"/>
        <s v="Mumbai"/>
      </sharedItems>
    </cacheField>
    <cacheField name="Category" numFmtId="0">
      <sharedItems count="3">
        <s v="Clothing"/>
        <s v="Electronics"/>
        <s v="Furniture"/>
      </sharedItems>
    </cacheField>
    <cacheField name="Product" numFmtId="0">
      <sharedItems/>
    </cacheField>
    <cacheField name="Sales" numFmtId="0">
      <sharedItems containsSemiMixedTypes="0" containsString="0" containsNumber="1" containsInteger="1" minValue="532" maxValue="4983"/>
    </cacheField>
    <cacheField name="Profit" numFmtId="0">
      <sharedItems containsSemiMixedTypes="0" containsString="0" containsNumber="1" containsInteger="1" minValue="64" maxValue="989"/>
    </cacheField>
    <cacheField name="Quantity" numFmtId="0">
      <sharedItems containsSemiMixedTypes="0" containsString="0" containsNumber="1" containsInteger="1" minValue="1" maxValue="10"/>
    </cacheField>
  </cacheFields>
  <extLst>
    <ext xmlns:x14="http://schemas.microsoft.com/office/spreadsheetml/2009/9/main" uri="{725AE2AE-9491-48be-B2B4-4EB974FC3084}">
      <x14:pivotCacheDefinition pivotCacheId="369199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2"/>
    <s v="2026-04-23"/>
    <x v="0"/>
    <x v="0"/>
    <s v="Jacket"/>
    <n v="2552"/>
    <n v="463"/>
    <n v="9"/>
  </r>
  <r>
    <n v="1003"/>
    <s v="2026-02-02"/>
    <x v="1"/>
    <x v="1"/>
    <s v="Laptop"/>
    <n v="659"/>
    <n v="856"/>
    <n v="10"/>
  </r>
  <r>
    <n v="1004"/>
    <s v="2026-04-24"/>
    <x v="1"/>
    <x v="2"/>
    <s v="Sofa"/>
    <n v="2356"/>
    <n v="77"/>
    <n v="9"/>
  </r>
  <r>
    <n v="1005"/>
    <s v="2026-02-25"/>
    <x v="2"/>
    <x v="2"/>
    <s v="Table"/>
    <n v="1888"/>
    <n v="791"/>
    <n v="9"/>
  </r>
  <r>
    <n v="1006"/>
    <s v="2026-01-13"/>
    <x v="0"/>
    <x v="1"/>
    <s v="Laptop"/>
    <n v="3567"/>
    <n v="875"/>
    <n v="7"/>
  </r>
  <r>
    <n v="1007"/>
    <s v="2026-04-24"/>
    <x v="3"/>
    <x v="1"/>
    <s v="Mobile"/>
    <n v="3359"/>
    <n v="214"/>
    <n v="10"/>
  </r>
  <r>
    <n v="1008"/>
    <s v="2026-02-21"/>
    <x v="3"/>
    <x v="1"/>
    <s v="Laptop"/>
    <n v="2928"/>
    <n v="890"/>
    <n v="5"/>
  </r>
  <r>
    <n v="1009"/>
    <s v="2026-01-23"/>
    <x v="1"/>
    <x v="0"/>
    <s v="T-Shirt"/>
    <n v="1255"/>
    <n v="942"/>
    <n v="4"/>
  </r>
  <r>
    <n v="1010"/>
    <s v="2026-02-18"/>
    <x v="1"/>
    <x v="2"/>
    <s v="Chair"/>
    <n v="2091"/>
    <n v="959"/>
    <n v="4"/>
  </r>
  <r>
    <n v="1011"/>
    <s v="2026-04-21"/>
    <x v="1"/>
    <x v="1"/>
    <s v="Mobile"/>
    <n v="1599"/>
    <n v="556"/>
    <n v="3"/>
  </r>
  <r>
    <n v="1012"/>
    <s v="2026-02-23"/>
    <x v="2"/>
    <x v="2"/>
    <s v="Sofa"/>
    <n v="2581"/>
    <n v="969"/>
    <n v="9"/>
  </r>
  <r>
    <n v="1013"/>
    <s v="2026-01-29"/>
    <x v="1"/>
    <x v="1"/>
    <s v="Mobile"/>
    <n v="4846"/>
    <n v="508"/>
    <n v="2"/>
  </r>
  <r>
    <n v="1014"/>
    <s v="2026-03-08"/>
    <x v="1"/>
    <x v="0"/>
    <s v="Jeans"/>
    <n v="1975"/>
    <n v="797"/>
    <n v="9"/>
  </r>
  <r>
    <n v="1015"/>
    <s v="2026-02-23"/>
    <x v="0"/>
    <x v="1"/>
    <s v="Laptop"/>
    <n v="1643"/>
    <n v="72"/>
    <n v="10"/>
  </r>
  <r>
    <n v="1016"/>
    <s v="2026-04-07"/>
    <x v="3"/>
    <x v="1"/>
    <s v="Tablet"/>
    <n v="2968"/>
    <n v="89"/>
    <n v="3"/>
  </r>
  <r>
    <n v="1017"/>
    <s v="2026-04-18"/>
    <x v="4"/>
    <x v="2"/>
    <s v="Table"/>
    <n v="990"/>
    <n v="903"/>
    <n v="6"/>
  </r>
  <r>
    <n v="1018"/>
    <s v="2026-04-30"/>
    <x v="4"/>
    <x v="2"/>
    <s v="Chair"/>
    <n v="552"/>
    <n v="245"/>
    <n v="3"/>
  </r>
  <r>
    <n v="1019"/>
    <s v="2026-03-29"/>
    <x v="4"/>
    <x v="1"/>
    <s v="Mobile"/>
    <n v="1799"/>
    <n v="839"/>
    <n v="10"/>
  </r>
  <r>
    <n v="1020"/>
    <s v="2026-03-07"/>
    <x v="4"/>
    <x v="1"/>
    <s v="Tablet"/>
    <n v="3563"/>
    <n v="319"/>
    <n v="1"/>
  </r>
  <r>
    <n v="1021"/>
    <s v="2026-02-07"/>
    <x v="3"/>
    <x v="1"/>
    <s v="Laptop"/>
    <n v="1347"/>
    <n v="820"/>
    <n v="10"/>
  </r>
  <r>
    <n v="1022"/>
    <s v="2026-01-01"/>
    <x v="3"/>
    <x v="1"/>
    <s v="Laptop"/>
    <n v="2887"/>
    <n v="881"/>
    <n v="7"/>
  </r>
  <r>
    <n v="1023"/>
    <s v="2026-01-22"/>
    <x v="4"/>
    <x v="0"/>
    <s v="Jeans"/>
    <n v="3693"/>
    <n v="224"/>
    <n v="6"/>
  </r>
  <r>
    <n v="1024"/>
    <s v="2026-04-26"/>
    <x v="4"/>
    <x v="1"/>
    <s v="Mobile"/>
    <n v="1757"/>
    <n v="409"/>
    <n v="10"/>
  </r>
  <r>
    <n v="1025"/>
    <s v="2026-03-20"/>
    <x v="1"/>
    <x v="0"/>
    <s v="Jeans"/>
    <n v="863"/>
    <n v="433"/>
    <n v="7"/>
  </r>
  <r>
    <n v="1026"/>
    <s v="2026-02-23"/>
    <x v="3"/>
    <x v="0"/>
    <s v="T-Shirt"/>
    <n v="4498"/>
    <n v="827"/>
    <n v="6"/>
  </r>
  <r>
    <n v="1027"/>
    <s v="2026-03-23"/>
    <x v="2"/>
    <x v="0"/>
    <s v="Jeans"/>
    <n v="1183"/>
    <n v="199"/>
    <n v="10"/>
  </r>
  <r>
    <n v="1028"/>
    <s v="2026-01-22"/>
    <x v="3"/>
    <x v="1"/>
    <s v="Tablet"/>
    <n v="1361"/>
    <n v="809"/>
    <n v="3"/>
  </r>
  <r>
    <n v="1029"/>
    <s v="2026-02-24"/>
    <x v="4"/>
    <x v="2"/>
    <s v="Table"/>
    <n v="2454"/>
    <n v="975"/>
    <n v="9"/>
  </r>
  <r>
    <n v="1030"/>
    <s v="2026-02-28"/>
    <x v="4"/>
    <x v="2"/>
    <s v="Sofa"/>
    <n v="1450"/>
    <n v="676"/>
    <n v="3"/>
  </r>
  <r>
    <n v="1031"/>
    <s v="2026-02-07"/>
    <x v="0"/>
    <x v="0"/>
    <s v="Jacket"/>
    <n v="3394"/>
    <n v="77"/>
    <n v="8"/>
  </r>
  <r>
    <n v="1032"/>
    <s v="2026-03-12"/>
    <x v="4"/>
    <x v="1"/>
    <s v="Tablet"/>
    <n v="4062"/>
    <n v="572"/>
    <n v="7"/>
  </r>
  <r>
    <n v="1033"/>
    <s v="2026-01-28"/>
    <x v="1"/>
    <x v="1"/>
    <s v="Mobile"/>
    <n v="943"/>
    <n v="107"/>
    <n v="1"/>
  </r>
  <r>
    <n v="1034"/>
    <s v="2026-01-24"/>
    <x v="0"/>
    <x v="2"/>
    <s v="Sofa"/>
    <n v="1013"/>
    <n v="172"/>
    <n v="1"/>
  </r>
  <r>
    <n v="1035"/>
    <s v="2026-04-25"/>
    <x v="2"/>
    <x v="0"/>
    <s v="T-Shirt"/>
    <n v="4622"/>
    <n v="632"/>
    <n v="7"/>
  </r>
  <r>
    <n v="1036"/>
    <s v="2026-04-15"/>
    <x v="3"/>
    <x v="2"/>
    <s v="Table"/>
    <n v="2370"/>
    <n v="647"/>
    <n v="4"/>
  </r>
  <r>
    <n v="1037"/>
    <s v="2026-03-29"/>
    <x v="3"/>
    <x v="1"/>
    <s v="Laptop"/>
    <n v="949"/>
    <n v="781"/>
    <n v="6"/>
  </r>
  <r>
    <n v="1038"/>
    <s v="2026-04-08"/>
    <x v="4"/>
    <x v="2"/>
    <s v="Sofa"/>
    <n v="862"/>
    <n v="814"/>
    <n v="7"/>
  </r>
  <r>
    <n v="1039"/>
    <s v="2026-01-13"/>
    <x v="1"/>
    <x v="1"/>
    <s v="Tablet"/>
    <n v="4192"/>
    <n v="380"/>
    <n v="9"/>
  </r>
  <r>
    <n v="1040"/>
    <s v="2026-02-18"/>
    <x v="0"/>
    <x v="1"/>
    <s v="Mobile"/>
    <n v="3687"/>
    <n v="383"/>
    <n v="3"/>
  </r>
  <r>
    <n v="1041"/>
    <s v="2026-04-20"/>
    <x v="0"/>
    <x v="2"/>
    <s v="Sofa"/>
    <n v="2602"/>
    <n v="968"/>
    <n v="10"/>
  </r>
  <r>
    <n v="1042"/>
    <s v="2026-03-22"/>
    <x v="2"/>
    <x v="1"/>
    <s v="Mobile"/>
    <n v="3983"/>
    <n v="305"/>
    <n v="2"/>
  </r>
  <r>
    <n v="1043"/>
    <s v="2026-02-23"/>
    <x v="2"/>
    <x v="1"/>
    <s v="Tablet"/>
    <n v="2926"/>
    <n v="928"/>
    <n v="4"/>
  </r>
  <r>
    <n v="1044"/>
    <s v="2026-01-23"/>
    <x v="3"/>
    <x v="0"/>
    <s v="T-Shirt"/>
    <n v="1031"/>
    <n v="745"/>
    <n v="3"/>
  </r>
  <r>
    <n v="1045"/>
    <s v="2026-01-20"/>
    <x v="2"/>
    <x v="0"/>
    <s v="Jeans"/>
    <n v="2119"/>
    <n v="79"/>
    <n v="6"/>
  </r>
  <r>
    <n v="1046"/>
    <s v="2026-03-13"/>
    <x v="2"/>
    <x v="2"/>
    <s v="Chair"/>
    <n v="1197"/>
    <n v="263"/>
    <n v="5"/>
  </r>
  <r>
    <n v="1047"/>
    <s v="2026-01-21"/>
    <x v="2"/>
    <x v="1"/>
    <s v="Tablet"/>
    <n v="3273"/>
    <n v="125"/>
    <n v="10"/>
  </r>
  <r>
    <n v="1048"/>
    <s v="2026-03-23"/>
    <x v="2"/>
    <x v="0"/>
    <s v="Jeans"/>
    <n v="1250"/>
    <n v="103"/>
    <n v="8"/>
  </r>
  <r>
    <n v="1049"/>
    <s v="2026-01-12"/>
    <x v="2"/>
    <x v="1"/>
    <s v="Mobile"/>
    <n v="1684"/>
    <n v="562"/>
    <n v="10"/>
  </r>
  <r>
    <n v="1050"/>
    <s v="2026-04-05"/>
    <x v="3"/>
    <x v="1"/>
    <s v="Tablet"/>
    <n v="4880"/>
    <n v="832"/>
    <n v="1"/>
  </r>
  <r>
    <n v="1051"/>
    <s v="2026-03-28"/>
    <x v="0"/>
    <x v="1"/>
    <s v="Tablet"/>
    <n v="2341"/>
    <n v="468"/>
    <n v="5"/>
  </r>
  <r>
    <n v="1052"/>
    <s v="2026-02-26"/>
    <x v="3"/>
    <x v="2"/>
    <s v="Table"/>
    <n v="2061"/>
    <n v="846"/>
    <n v="5"/>
  </r>
  <r>
    <n v="1053"/>
    <s v="2026-02-25"/>
    <x v="2"/>
    <x v="2"/>
    <s v="Chair"/>
    <n v="970"/>
    <n v="256"/>
    <n v="10"/>
  </r>
  <r>
    <n v="1054"/>
    <s v="2026-04-14"/>
    <x v="4"/>
    <x v="1"/>
    <s v="Mobile"/>
    <n v="1177"/>
    <n v="212"/>
    <n v="7"/>
  </r>
  <r>
    <n v="1055"/>
    <s v="2026-01-11"/>
    <x v="3"/>
    <x v="1"/>
    <s v="Tablet"/>
    <n v="3447"/>
    <n v="501"/>
    <n v="7"/>
  </r>
  <r>
    <n v="1056"/>
    <s v="2026-04-21"/>
    <x v="0"/>
    <x v="2"/>
    <s v="Chair"/>
    <n v="3765"/>
    <n v="118"/>
    <n v="6"/>
  </r>
  <r>
    <n v="1057"/>
    <s v="2026-02-01"/>
    <x v="0"/>
    <x v="2"/>
    <s v="Table"/>
    <n v="2975"/>
    <n v="551"/>
    <n v="6"/>
  </r>
  <r>
    <n v="1058"/>
    <s v="2026-04-01"/>
    <x v="1"/>
    <x v="0"/>
    <s v="Jacket"/>
    <n v="2433"/>
    <n v="211"/>
    <n v="7"/>
  </r>
  <r>
    <n v="1059"/>
    <s v="2026-04-18"/>
    <x v="1"/>
    <x v="1"/>
    <s v="Tablet"/>
    <n v="2201"/>
    <n v="842"/>
    <n v="4"/>
  </r>
  <r>
    <n v="1060"/>
    <s v="2026-01-05"/>
    <x v="3"/>
    <x v="2"/>
    <s v="Sofa"/>
    <n v="3119"/>
    <n v="970"/>
    <n v="1"/>
  </r>
  <r>
    <n v="1061"/>
    <s v="2026-01-30"/>
    <x v="1"/>
    <x v="2"/>
    <s v="Table"/>
    <n v="3737"/>
    <n v="683"/>
    <n v="9"/>
  </r>
  <r>
    <n v="1062"/>
    <s v="2026-01-05"/>
    <x v="4"/>
    <x v="0"/>
    <s v="T-Shirt"/>
    <n v="2490"/>
    <n v="155"/>
    <n v="1"/>
  </r>
  <r>
    <n v="1063"/>
    <s v="2026-03-16"/>
    <x v="1"/>
    <x v="0"/>
    <s v="T-Shirt"/>
    <n v="3668"/>
    <n v="206"/>
    <n v="8"/>
  </r>
  <r>
    <n v="1064"/>
    <s v="2026-02-18"/>
    <x v="1"/>
    <x v="2"/>
    <s v="Sofa"/>
    <n v="3274"/>
    <n v="957"/>
    <n v="9"/>
  </r>
  <r>
    <n v="1065"/>
    <s v="2026-02-23"/>
    <x v="4"/>
    <x v="1"/>
    <s v="Tablet"/>
    <n v="3407"/>
    <n v="620"/>
    <n v="1"/>
  </r>
  <r>
    <n v="1066"/>
    <s v="2026-01-06"/>
    <x v="4"/>
    <x v="1"/>
    <s v="Laptop"/>
    <n v="532"/>
    <n v="421"/>
    <n v="3"/>
  </r>
  <r>
    <n v="1067"/>
    <s v="2026-03-26"/>
    <x v="2"/>
    <x v="2"/>
    <s v="Sofa"/>
    <n v="2258"/>
    <n v="128"/>
    <n v="9"/>
  </r>
  <r>
    <n v="1068"/>
    <s v="2026-01-09"/>
    <x v="4"/>
    <x v="2"/>
    <s v="Chair"/>
    <n v="1781"/>
    <n v="341"/>
    <n v="1"/>
  </r>
  <r>
    <n v="1069"/>
    <s v="2026-04-30"/>
    <x v="4"/>
    <x v="2"/>
    <s v="Table"/>
    <n v="1548"/>
    <n v="464"/>
    <n v="4"/>
  </r>
  <r>
    <n v="1070"/>
    <s v="2026-02-28"/>
    <x v="2"/>
    <x v="1"/>
    <s v="Tablet"/>
    <n v="1992"/>
    <n v="247"/>
    <n v="4"/>
  </r>
  <r>
    <n v="1071"/>
    <s v="2026-04-30"/>
    <x v="2"/>
    <x v="0"/>
    <s v="T-Shirt"/>
    <n v="4542"/>
    <n v="64"/>
    <n v="6"/>
  </r>
  <r>
    <n v="1072"/>
    <s v="2026-03-01"/>
    <x v="4"/>
    <x v="1"/>
    <s v="Laptop"/>
    <n v="4983"/>
    <n v="469"/>
    <n v="4"/>
  </r>
  <r>
    <n v="1073"/>
    <s v="2026-04-04"/>
    <x v="0"/>
    <x v="1"/>
    <s v="Tablet"/>
    <n v="2029"/>
    <n v="505"/>
    <n v="6"/>
  </r>
  <r>
    <n v="1074"/>
    <s v="2026-01-05"/>
    <x v="4"/>
    <x v="2"/>
    <s v="Chair"/>
    <n v="1243"/>
    <n v="989"/>
    <n v="1"/>
  </r>
  <r>
    <n v="1075"/>
    <s v="2026-03-23"/>
    <x v="2"/>
    <x v="2"/>
    <s v="Sofa"/>
    <n v="1561"/>
    <n v="510"/>
    <n v="10"/>
  </r>
  <r>
    <n v="1076"/>
    <s v="2026-04-20"/>
    <x v="0"/>
    <x v="2"/>
    <s v="Table"/>
    <n v="2310"/>
    <n v="282"/>
    <n v="3"/>
  </r>
  <r>
    <n v="1077"/>
    <s v="2026-04-26"/>
    <x v="3"/>
    <x v="0"/>
    <s v="Jacket"/>
    <n v="1153"/>
    <n v="938"/>
    <n v="10"/>
  </r>
  <r>
    <n v="1078"/>
    <s v="2026-04-22"/>
    <x v="0"/>
    <x v="1"/>
    <s v="Laptop"/>
    <n v="1936"/>
    <n v="757"/>
    <n v="2"/>
  </r>
  <r>
    <n v="1079"/>
    <s v="2026-03-14"/>
    <x v="1"/>
    <x v="0"/>
    <s v="T-Shirt"/>
    <n v="2821"/>
    <n v="271"/>
    <n v="5"/>
  </r>
  <r>
    <n v="1080"/>
    <s v="2026-01-30"/>
    <x v="1"/>
    <x v="0"/>
    <s v="Jacket"/>
    <n v="1395"/>
    <n v="751"/>
    <n v="1"/>
  </r>
  <r>
    <n v="1081"/>
    <s v="2026-04-17"/>
    <x v="3"/>
    <x v="1"/>
    <s v="Tablet"/>
    <n v="3487"/>
    <n v="945"/>
    <n v="1"/>
  </r>
  <r>
    <n v="1082"/>
    <s v="2026-03-16"/>
    <x v="2"/>
    <x v="2"/>
    <s v="Sofa"/>
    <n v="623"/>
    <n v="468"/>
    <n v="5"/>
  </r>
  <r>
    <n v="1083"/>
    <s v="2026-04-13"/>
    <x v="2"/>
    <x v="2"/>
    <s v="Sofa"/>
    <n v="4527"/>
    <n v="75"/>
    <n v="2"/>
  </r>
  <r>
    <n v="1084"/>
    <s v="2026-03-20"/>
    <x v="2"/>
    <x v="1"/>
    <s v="Tablet"/>
    <n v="4581"/>
    <n v="327"/>
    <n v="5"/>
  </r>
  <r>
    <n v="1085"/>
    <s v="2026-05-01"/>
    <x v="4"/>
    <x v="0"/>
    <s v="Jacket"/>
    <n v="4399"/>
    <n v="282"/>
    <n v="5"/>
  </r>
  <r>
    <n v="1086"/>
    <s v="2026-02-03"/>
    <x v="4"/>
    <x v="1"/>
    <s v="Mobile"/>
    <n v="2443"/>
    <n v="76"/>
    <n v="9"/>
  </r>
  <r>
    <n v="1087"/>
    <s v="2026-02-26"/>
    <x v="1"/>
    <x v="2"/>
    <s v="Table"/>
    <n v="1614"/>
    <n v="117"/>
    <n v="1"/>
  </r>
  <r>
    <n v="1088"/>
    <s v="2026-03-12"/>
    <x v="0"/>
    <x v="2"/>
    <s v="Table"/>
    <n v="3793"/>
    <n v="211"/>
    <n v="4"/>
  </r>
  <r>
    <n v="1089"/>
    <s v="2026-03-07"/>
    <x v="0"/>
    <x v="1"/>
    <s v="Tablet"/>
    <n v="3754"/>
    <n v="228"/>
    <n v="7"/>
  </r>
  <r>
    <n v="1090"/>
    <s v="2026-01-20"/>
    <x v="1"/>
    <x v="0"/>
    <s v="Jeans"/>
    <n v="3757"/>
    <n v="390"/>
    <n v="5"/>
  </r>
  <r>
    <n v="1091"/>
    <s v="2026-02-14"/>
    <x v="1"/>
    <x v="2"/>
    <s v="Chair"/>
    <n v="684"/>
    <n v="114"/>
    <n v="5"/>
  </r>
  <r>
    <n v="1092"/>
    <s v="2026-04-14"/>
    <x v="2"/>
    <x v="1"/>
    <s v="Tablet"/>
    <n v="714"/>
    <n v="584"/>
    <n v="3"/>
  </r>
  <r>
    <n v="1093"/>
    <s v="2026-04-24"/>
    <x v="3"/>
    <x v="1"/>
    <s v="Mobile"/>
    <n v="4233"/>
    <n v="467"/>
    <n v="9"/>
  </r>
  <r>
    <n v="1094"/>
    <s v="2026-04-25"/>
    <x v="4"/>
    <x v="1"/>
    <s v="Mobile"/>
    <n v="1567"/>
    <n v="754"/>
    <n v="4"/>
  </r>
  <r>
    <n v="1095"/>
    <s v="2026-04-14"/>
    <x v="0"/>
    <x v="0"/>
    <s v="Jacket"/>
    <n v="4237"/>
    <n v="450"/>
    <n v="4"/>
  </r>
  <r>
    <n v="1096"/>
    <s v="2026-03-03"/>
    <x v="3"/>
    <x v="1"/>
    <s v="Mobile"/>
    <n v="4930"/>
    <n v="101"/>
    <n v="7"/>
  </r>
  <r>
    <n v="1097"/>
    <s v="2026-02-27"/>
    <x v="0"/>
    <x v="1"/>
    <s v="Tablet"/>
    <n v="4570"/>
    <n v="364"/>
    <n v="9"/>
  </r>
  <r>
    <n v="1098"/>
    <s v="2026-03-25"/>
    <x v="4"/>
    <x v="0"/>
    <s v="Jacket"/>
    <n v="3297"/>
    <n v="106"/>
    <n v="10"/>
  </r>
  <r>
    <n v="1099"/>
    <s v="2026-01-25"/>
    <x v="2"/>
    <x v="1"/>
    <s v="Laptop"/>
    <n v="1918"/>
    <n v="625"/>
    <n v="6"/>
  </r>
  <r>
    <n v="1100"/>
    <s v="2026-03-07"/>
    <x v="3"/>
    <x v="0"/>
    <s v="Jacket"/>
    <n v="2412"/>
    <n v="234"/>
    <n v="6"/>
  </r>
  <r>
    <n v="1101"/>
    <s v="2026-03-04"/>
    <x v="4"/>
    <x v="2"/>
    <s v="Sofa"/>
    <n v="2761"/>
    <n v="718"/>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2F8800-71CF-47B2-AADD-8C07788648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5" firstHeaderRow="1" firstDataRow="1" firstDataCol="1"/>
  <pivotFields count="8">
    <pivotField showAll="0"/>
    <pivotField showAll="0"/>
    <pivotField axis="axisRow" showAll="0">
      <items count="6">
        <item x="0"/>
        <item x="3"/>
        <item x="1"/>
        <item x="4"/>
        <item x="2"/>
        <item t="default"/>
      </items>
    </pivotField>
    <pivotField showAll="0">
      <items count="4">
        <item x="0"/>
        <item x="1"/>
        <item x="2"/>
        <item t="default"/>
      </items>
    </pivotField>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Sales" fld="5" baseField="0" baseItem="0" numFmtId="16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01652-CCB2-4E5C-B4F8-BECE582F14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8">
    <pivotField showAll="0"/>
    <pivotField showAll="0"/>
    <pivotField showAll="0">
      <items count="6">
        <item x="0"/>
        <item x="3"/>
        <item x="1"/>
        <item x="4"/>
        <item x="2"/>
        <item t="default"/>
      </items>
    </pivotField>
    <pivotField axis="axisRow" showAll="0">
      <items count="4">
        <item x="0"/>
        <item x="1"/>
        <item x="2"/>
        <item t="default"/>
      </items>
    </pivotField>
    <pivotField showAll="0"/>
    <pivotField dataField="1" showAll="0"/>
    <pivotField showAll="0"/>
    <pivotField showAll="0"/>
  </pivotFields>
  <rowFields count="1">
    <field x="3"/>
  </rowFields>
  <rowItems count="4">
    <i>
      <x/>
    </i>
    <i>
      <x v="1"/>
    </i>
    <i>
      <x v="2"/>
    </i>
    <i t="grand">
      <x/>
    </i>
  </rowItems>
  <colItems count="1">
    <i/>
  </colItems>
  <dataFields count="1">
    <dataField name="Sum of Sales" fld="5"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A910E9A-1247-4412-A857-6B0449A18F16}" sourceName="City">
  <pivotTables>
    <pivotTable tabId="3" name="PivotTable1"/>
    <pivotTable tabId="3" name="PivotTable2"/>
  </pivotTables>
  <data>
    <tabular pivotCacheId="369199254">
      <items count="5">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AFD6F6-5B5C-4D33-A057-D7DB7DA8FFEF}" sourceName="Category">
  <pivotTables>
    <pivotTable tabId="3" name="PivotTable1"/>
    <pivotTable tabId="3" name="PivotTable2"/>
  </pivotTables>
  <data>
    <tabular pivotCacheId="36919925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4750CDD-AD2F-4E72-AB81-C2DEDBA0BA33}" cache="Slicer_City" caption="City" rowHeight="234950"/>
  <slicer name="Category" xr10:uid="{585AB9A0-C901-4E1B-B823-DBE8DEA5413C}"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CF67E3-1B45-48B8-B1EF-9C26DD2C3CAC}" name="Table1" displayName="Table1" ref="A1:H101" totalsRowShown="0" headerRowDxfId="0">
  <autoFilter ref="A1:H101" xr:uid="{76CF67E3-1B45-48B8-B1EF-9C26DD2C3CAC}"/>
  <tableColumns count="8">
    <tableColumn id="1" xr3:uid="{5A5AB304-EB4D-41EE-B871-25FB5324D74F}" name="OrderID"/>
    <tableColumn id="2" xr3:uid="{03797C2F-BCDC-4CF9-8D13-68C714155525}" name="Date"/>
    <tableColumn id="3" xr3:uid="{243AEAD0-0E77-42DB-BCBC-07C6AA423476}" name="City"/>
    <tableColumn id="4" xr3:uid="{99B99C00-765E-482D-8C09-1F5D9D1FE54D}" name="Category"/>
    <tableColumn id="5" xr3:uid="{71A453FC-0DFC-49A0-AAC7-5E2516F6054A}" name="Product"/>
    <tableColumn id="6" xr3:uid="{597211EF-CF1F-40C5-8909-A0BE6B1F0C4E}" name="Sales"/>
    <tableColumn id="7" xr3:uid="{8F429B6F-0AC7-4516-9322-D134CB33B5EC}" name="Profit"/>
    <tableColumn id="8" xr3:uid="{AA41B15A-1735-43A6-A704-1BAA8AB6EE38}" name="Quant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DBC40-E83A-4BB9-9749-7400BB61FA50}">
  <dimension ref="A3:B15"/>
  <sheetViews>
    <sheetView workbookViewId="0">
      <selection activeCell="O7" sqref="O7"/>
    </sheetView>
  </sheetViews>
  <sheetFormatPr defaultRowHeight="14.4" x14ac:dyDescent="0.3"/>
  <cols>
    <col min="1" max="1" width="12.5546875" bestFit="1" customWidth="1"/>
    <col min="2" max="2" width="12.109375" bestFit="1" customWidth="1"/>
  </cols>
  <sheetData>
    <row r="3" spans="1:2" x14ac:dyDescent="0.3">
      <c r="A3" s="2" t="s">
        <v>96</v>
      </c>
      <c r="B3" t="s">
        <v>98</v>
      </c>
    </row>
    <row r="4" spans="1:2" x14ac:dyDescent="0.3">
      <c r="A4" s="3" t="s">
        <v>10</v>
      </c>
      <c r="B4" s="4">
        <v>65039</v>
      </c>
    </row>
    <row r="5" spans="1:2" x14ac:dyDescent="0.3">
      <c r="A5" s="3" t="s">
        <v>14</v>
      </c>
      <c r="B5" s="4">
        <v>121104</v>
      </c>
    </row>
    <row r="6" spans="1:2" x14ac:dyDescent="0.3">
      <c r="A6" s="3" t="s">
        <v>17</v>
      </c>
      <c r="B6" s="4">
        <v>67010</v>
      </c>
    </row>
    <row r="7" spans="1:2" x14ac:dyDescent="0.3">
      <c r="A7" s="3" t="s">
        <v>97</v>
      </c>
      <c r="B7" s="4">
        <v>253153</v>
      </c>
    </row>
    <row r="9" spans="1:2" x14ac:dyDescent="0.3">
      <c r="A9" s="2" t="s">
        <v>96</v>
      </c>
      <c r="B9" t="s">
        <v>98</v>
      </c>
    </row>
    <row r="10" spans="1:2" x14ac:dyDescent="0.3">
      <c r="A10" s="3" t="s">
        <v>9</v>
      </c>
      <c r="B10" s="4">
        <v>50168</v>
      </c>
    </row>
    <row r="11" spans="1:2" x14ac:dyDescent="0.3">
      <c r="A11" s="3" t="s">
        <v>23</v>
      </c>
      <c r="B11" s="4">
        <v>53420</v>
      </c>
    </row>
    <row r="12" spans="1:2" x14ac:dyDescent="0.3">
      <c r="A12" s="3" t="s">
        <v>13</v>
      </c>
      <c r="B12" s="4">
        <v>46363</v>
      </c>
    </row>
    <row r="13" spans="1:2" x14ac:dyDescent="0.3">
      <c r="A13" s="3" t="s">
        <v>38</v>
      </c>
      <c r="B13" s="4">
        <v>52810</v>
      </c>
    </row>
    <row r="14" spans="1:2" x14ac:dyDescent="0.3">
      <c r="A14" s="3" t="s">
        <v>20</v>
      </c>
      <c r="B14" s="4">
        <v>50392</v>
      </c>
    </row>
    <row r="15" spans="1:2" x14ac:dyDescent="0.3">
      <c r="A15" s="3" t="s">
        <v>97</v>
      </c>
      <c r="B15" s="4">
        <v>253153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DC38-2197-4D05-A8C0-974604DC1795}">
  <sheetPr>
    <pageSetUpPr autoPageBreaks="0"/>
  </sheetPr>
  <dimension ref="A1:U8"/>
  <sheetViews>
    <sheetView showGridLines="0" tabSelected="1" zoomScale="112" zoomScaleNormal="112" workbookViewId="0">
      <selection activeCell="I10" sqref="I10"/>
    </sheetView>
  </sheetViews>
  <sheetFormatPr defaultRowHeight="14.4" x14ac:dyDescent="0.3"/>
  <cols>
    <col min="1" max="21" width="8.88671875" style="6" customWidth="1"/>
    <col min="22" max="16384" width="8.88671875" style="6"/>
  </cols>
  <sheetData>
    <row r="1" spans="1:21" ht="14.4" customHeight="1" x14ac:dyDescent="0.3">
      <c r="A1" s="5" t="s">
        <v>99</v>
      </c>
      <c r="B1" s="5"/>
      <c r="C1" s="5"/>
      <c r="D1" s="5"/>
      <c r="E1" s="5"/>
      <c r="F1" s="5"/>
      <c r="G1" s="5"/>
      <c r="H1" s="5"/>
      <c r="I1" s="5"/>
      <c r="J1" s="5"/>
      <c r="K1" s="5"/>
      <c r="L1" s="5"/>
      <c r="M1" s="5"/>
      <c r="N1" s="5"/>
      <c r="O1" s="5"/>
      <c r="P1" s="5"/>
      <c r="Q1" s="5"/>
      <c r="R1" s="5"/>
      <c r="S1" s="5"/>
      <c r="T1" s="5"/>
      <c r="U1" s="5"/>
    </row>
    <row r="2" spans="1:21" ht="14.4" customHeight="1" x14ac:dyDescent="0.3">
      <c r="A2" s="5"/>
      <c r="B2" s="5"/>
      <c r="C2" s="5"/>
      <c r="D2" s="5"/>
      <c r="E2" s="5"/>
      <c r="F2" s="5"/>
      <c r="G2" s="5"/>
      <c r="H2" s="5"/>
      <c r="I2" s="5"/>
      <c r="J2" s="5"/>
      <c r="K2" s="5"/>
      <c r="L2" s="5"/>
      <c r="M2" s="5"/>
      <c r="N2" s="5"/>
      <c r="O2" s="5"/>
      <c r="P2" s="5"/>
      <c r="Q2" s="5"/>
      <c r="R2" s="5"/>
      <c r="S2" s="5"/>
      <c r="T2" s="5"/>
      <c r="U2" s="5"/>
    </row>
    <row r="3" spans="1:21" ht="14.4" customHeight="1" x14ac:dyDescent="0.3">
      <c r="A3" s="5"/>
      <c r="B3" s="5"/>
      <c r="C3" s="5"/>
      <c r="D3" s="5"/>
      <c r="E3" s="5"/>
      <c r="F3" s="5"/>
      <c r="G3" s="5"/>
      <c r="H3" s="5"/>
      <c r="I3" s="5"/>
      <c r="J3" s="5"/>
      <c r="K3" s="5"/>
      <c r="L3" s="5"/>
      <c r="M3" s="5"/>
      <c r="N3" s="5"/>
      <c r="O3" s="5"/>
      <c r="P3" s="5"/>
      <c r="Q3" s="5"/>
      <c r="R3" s="5"/>
      <c r="S3" s="5"/>
      <c r="T3" s="5"/>
      <c r="U3" s="5"/>
    </row>
    <row r="5" spans="1:21" x14ac:dyDescent="0.3">
      <c r="B5" s="8" t="s">
        <v>100</v>
      </c>
      <c r="C5" s="8"/>
      <c r="D5" s="8"/>
      <c r="F5" s="7" t="s">
        <v>101</v>
      </c>
      <c r="G5" s="7"/>
      <c r="H5" s="7"/>
      <c r="J5" s="7" t="s">
        <v>102</v>
      </c>
      <c r="K5" s="7"/>
      <c r="L5" s="7"/>
      <c r="N5" s="7" t="s">
        <v>103</v>
      </c>
      <c r="O5" s="7"/>
      <c r="P5" s="7"/>
    </row>
    <row r="6" spans="1:21" x14ac:dyDescent="0.3">
      <c r="B6" s="8"/>
      <c r="C6" s="8"/>
      <c r="D6" s="8"/>
      <c r="F6" s="7"/>
      <c r="G6" s="7"/>
      <c r="H6" s="7"/>
      <c r="J6" s="7"/>
      <c r="K6" s="7"/>
      <c r="L6" s="7"/>
      <c r="N6" s="7"/>
      <c r="O6" s="7"/>
      <c r="P6" s="7"/>
    </row>
    <row r="7" spans="1:21" x14ac:dyDescent="0.3">
      <c r="B7" s="7">
        <f>SUM(Table1[Sales])</f>
        <v>253153</v>
      </c>
      <c r="C7" s="7"/>
      <c r="D7" s="7"/>
      <c r="F7" s="7">
        <f>SUM(Table1[Profit])</f>
        <v>49461</v>
      </c>
      <c r="G7" s="7"/>
      <c r="H7" s="7"/>
      <c r="J7" s="7">
        <f>COUNTA(Table1[OrderID])</f>
        <v>100</v>
      </c>
      <c r="K7" s="7"/>
      <c r="L7" s="7"/>
      <c r="N7" s="7">
        <f>AVERAGE(Table1[Sales])</f>
        <v>2531.5300000000002</v>
      </c>
      <c r="O7" s="7"/>
      <c r="P7" s="7"/>
    </row>
    <row r="8" spans="1:21" x14ac:dyDescent="0.3">
      <c r="B8" s="7"/>
      <c r="C8" s="7"/>
      <c r="D8" s="7"/>
      <c r="F8" s="7"/>
      <c r="G8" s="7"/>
      <c r="H8" s="7"/>
      <c r="J8" s="7"/>
      <c r="K8" s="7"/>
      <c r="L8" s="7"/>
      <c r="N8" s="7"/>
      <c r="O8" s="7"/>
      <c r="P8" s="7"/>
    </row>
  </sheetData>
  <mergeCells count="9">
    <mergeCell ref="A1:U3"/>
    <mergeCell ref="B7:D8"/>
    <mergeCell ref="F7:H8"/>
    <mergeCell ref="J7:L8"/>
    <mergeCell ref="N7:P8"/>
    <mergeCell ref="B5:D6"/>
    <mergeCell ref="F5:H6"/>
    <mergeCell ref="J5:L6"/>
    <mergeCell ref="N5:P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A2" workbookViewId="0">
      <selection activeCell="D15" sqref="D15"/>
    </sheetView>
  </sheetViews>
  <sheetFormatPr defaultRowHeight="14.4" x14ac:dyDescent="0.3"/>
  <cols>
    <col min="1" max="1" width="9.44140625" customWidth="1"/>
    <col min="4" max="4" width="10.44140625" customWidth="1"/>
    <col min="5" max="5" width="9.5546875" customWidth="1"/>
    <col min="8" max="8" width="10.21875" customWidth="1"/>
  </cols>
  <sheetData>
    <row r="1" spans="1:8" x14ac:dyDescent="0.3">
      <c r="A1" s="1" t="s">
        <v>0</v>
      </c>
      <c r="B1" s="1" t="s">
        <v>1</v>
      </c>
      <c r="C1" s="1" t="s">
        <v>2</v>
      </c>
      <c r="D1" s="1" t="s">
        <v>3</v>
      </c>
      <c r="E1" s="1" t="s">
        <v>4</v>
      </c>
      <c r="F1" s="1" t="s">
        <v>5</v>
      </c>
      <c r="G1" s="1" t="s">
        <v>6</v>
      </c>
      <c r="H1" s="1" t="s">
        <v>7</v>
      </c>
    </row>
    <row r="2" spans="1:8" x14ac:dyDescent="0.3">
      <c r="A2">
        <v>1002</v>
      </c>
      <c r="B2" t="s">
        <v>8</v>
      </c>
      <c r="C2" t="s">
        <v>9</v>
      </c>
      <c r="D2" t="s">
        <v>10</v>
      </c>
      <c r="E2" t="s">
        <v>11</v>
      </c>
      <c r="F2">
        <v>2552</v>
      </c>
      <c r="G2">
        <v>463</v>
      </c>
      <c r="H2">
        <v>9</v>
      </c>
    </row>
    <row r="3" spans="1:8" x14ac:dyDescent="0.3">
      <c r="A3">
        <v>1003</v>
      </c>
      <c r="B3" t="s">
        <v>12</v>
      </c>
      <c r="C3" t="s">
        <v>13</v>
      </c>
      <c r="D3" t="s">
        <v>14</v>
      </c>
      <c r="E3" t="s">
        <v>15</v>
      </c>
      <c r="F3">
        <v>659</v>
      </c>
      <c r="G3">
        <v>856</v>
      </c>
      <c r="H3">
        <v>10</v>
      </c>
    </row>
    <row r="4" spans="1:8" x14ac:dyDescent="0.3">
      <c r="A4">
        <v>1004</v>
      </c>
      <c r="B4" t="s">
        <v>16</v>
      </c>
      <c r="C4" t="s">
        <v>13</v>
      </c>
      <c r="D4" t="s">
        <v>17</v>
      </c>
      <c r="E4" t="s">
        <v>18</v>
      </c>
      <c r="F4">
        <v>2356</v>
      </c>
      <c r="G4">
        <v>77</v>
      </c>
      <c r="H4">
        <v>9</v>
      </c>
    </row>
    <row r="5" spans="1:8" x14ac:dyDescent="0.3">
      <c r="A5">
        <v>1005</v>
      </c>
      <c r="B5" t="s">
        <v>19</v>
      </c>
      <c r="C5" t="s">
        <v>20</v>
      </c>
      <c r="D5" t="s">
        <v>17</v>
      </c>
      <c r="E5" t="s">
        <v>21</v>
      </c>
      <c r="F5">
        <v>1888</v>
      </c>
      <c r="G5">
        <v>791</v>
      </c>
      <c r="H5">
        <v>9</v>
      </c>
    </row>
    <row r="6" spans="1:8" x14ac:dyDescent="0.3">
      <c r="A6">
        <v>1006</v>
      </c>
      <c r="B6" t="s">
        <v>22</v>
      </c>
      <c r="C6" t="s">
        <v>9</v>
      </c>
      <c r="D6" t="s">
        <v>14</v>
      </c>
      <c r="E6" t="s">
        <v>15</v>
      </c>
      <c r="F6">
        <v>3567</v>
      </c>
      <c r="G6">
        <v>875</v>
      </c>
      <c r="H6">
        <v>7</v>
      </c>
    </row>
    <row r="7" spans="1:8" x14ac:dyDescent="0.3">
      <c r="A7">
        <v>1007</v>
      </c>
      <c r="B7" t="s">
        <v>16</v>
      </c>
      <c r="C7" t="s">
        <v>23</v>
      </c>
      <c r="D7" t="s">
        <v>14</v>
      </c>
      <c r="E7" t="s">
        <v>24</v>
      </c>
      <c r="F7">
        <v>3359</v>
      </c>
      <c r="G7">
        <v>214</v>
      </c>
      <c r="H7">
        <v>10</v>
      </c>
    </row>
    <row r="8" spans="1:8" x14ac:dyDescent="0.3">
      <c r="A8">
        <v>1008</v>
      </c>
      <c r="B8" t="s">
        <v>25</v>
      </c>
      <c r="C8" t="s">
        <v>23</v>
      </c>
      <c r="D8" t="s">
        <v>14</v>
      </c>
      <c r="E8" t="s">
        <v>15</v>
      </c>
      <c r="F8">
        <v>2928</v>
      </c>
      <c r="G8">
        <v>890</v>
      </c>
      <c r="H8">
        <v>5</v>
      </c>
    </row>
    <row r="9" spans="1:8" x14ac:dyDescent="0.3">
      <c r="A9">
        <v>1009</v>
      </c>
      <c r="B9" t="s">
        <v>26</v>
      </c>
      <c r="C9" t="s">
        <v>13</v>
      </c>
      <c r="D9" t="s">
        <v>10</v>
      </c>
      <c r="E9" t="s">
        <v>27</v>
      </c>
      <c r="F9">
        <v>1255</v>
      </c>
      <c r="G9">
        <v>942</v>
      </c>
      <c r="H9">
        <v>4</v>
      </c>
    </row>
    <row r="10" spans="1:8" x14ac:dyDescent="0.3">
      <c r="A10">
        <v>1010</v>
      </c>
      <c r="B10" t="s">
        <v>28</v>
      </c>
      <c r="C10" t="s">
        <v>13</v>
      </c>
      <c r="D10" t="s">
        <v>17</v>
      </c>
      <c r="E10" t="s">
        <v>29</v>
      </c>
      <c r="F10">
        <v>2091</v>
      </c>
      <c r="G10">
        <v>959</v>
      </c>
      <c r="H10">
        <v>4</v>
      </c>
    </row>
    <row r="11" spans="1:8" x14ac:dyDescent="0.3">
      <c r="A11">
        <v>1011</v>
      </c>
      <c r="B11" t="s">
        <v>30</v>
      </c>
      <c r="C11" t="s">
        <v>13</v>
      </c>
      <c r="D11" t="s">
        <v>14</v>
      </c>
      <c r="E11" t="s">
        <v>24</v>
      </c>
      <c r="F11">
        <v>1599</v>
      </c>
      <c r="G11">
        <v>556</v>
      </c>
      <c r="H11">
        <v>3</v>
      </c>
    </row>
    <row r="12" spans="1:8" x14ac:dyDescent="0.3">
      <c r="A12">
        <v>1012</v>
      </c>
      <c r="B12" t="s">
        <v>31</v>
      </c>
      <c r="C12" t="s">
        <v>20</v>
      </c>
      <c r="D12" t="s">
        <v>17</v>
      </c>
      <c r="E12" t="s">
        <v>18</v>
      </c>
      <c r="F12">
        <v>2581</v>
      </c>
      <c r="G12">
        <v>969</v>
      </c>
      <c r="H12">
        <v>9</v>
      </c>
    </row>
    <row r="13" spans="1:8" x14ac:dyDescent="0.3">
      <c r="A13">
        <v>1013</v>
      </c>
      <c r="B13" t="s">
        <v>32</v>
      </c>
      <c r="C13" t="s">
        <v>13</v>
      </c>
      <c r="D13" t="s">
        <v>14</v>
      </c>
      <c r="E13" t="s">
        <v>24</v>
      </c>
      <c r="F13">
        <v>4846</v>
      </c>
      <c r="G13">
        <v>508</v>
      </c>
      <c r="H13">
        <v>2</v>
      </c>
    </row>
    <row r="14" spans="1:8" x14ac:dyDescent="0.3">
      <c r="A14">
        <v>1014</v>
      </c>
      <c r="B14" t="s">
        <v>33</v>
      </c>
      <c r="C14" t="s">
        <v>13</v>
      </c>
      <c r="D14" t="s">
        <v>10</v>
      </c>
      <c r="E14" t="s">
        <v>34</v>
      </c>
      <c r="F14">
        <v>1975</v>
      </c>
      <c r="G14">
        <v>797</v>
      </c>
      <c r="H14">
        <v>9</v>
      </c>
    </row>
    <row r="15" spans="1:8" x14ac:dyDescent="0.3">
      <c r="A15">
        <v>1015</v>
      </c>
      <c r="B15" t="s">
        <v>31</v>
      </c>
      <c r="C15" t="s">
        <v>9</v>
      </c>
      <c r="D15" t="s">
        <v>14</v>
      </c>
      <c r="E15" t="s">
        <v>15</v>
      </c>
      <c r="F15">
        <v>1643</v>
      </c>
      <c r="G15">
        <v>72</v>
      </c>
      <c r="H15">
        <v>10</v>
      </c>
    </row>
    <row r="16" spans="1:8" x14ac:dyDescent="0.3">
      <c r="A16">
        <v>1016</v>
      </c>
      <c r="B16" t="s">
        <v>35</v>
      </c>
      <c r="C16" t="s">
        <v>23</v>
      </c>
      <c r="D16" t="s">
        <v>14</v>
      </c>
      <c r="E16" t="s">
        <v>36</v>
      </c>
      <c r="F16">
        <v>2968</v>
      </c>
      <c r="G16">
        <v>89</v>
      </c>
      <c r="H16">
        <v>3</v>
      </c>
    </row>
    <row r="17" spans="1:8" x14ac:dyDescent="0.3">
      <c r="A17">
        <v>1017</v>
      </c>
      <c r="B17" t="s">
        <v>37</v>
      </c>
      <c r="C17" t="s">
        <v>38</v>
      </c>
      <c r="D17" t="s">
        <v>17</v>
      </c>
      <c r="E17" t="s">
        <v>21</v>
      </c>
      <c r="F17">
        <v>990</v>
      </c>
      <c r="G17">
        <v>903</v>
      </c>
      <c r="H17">
        <v>6</v>
      </c>
    </row>
    <row r="18" spans="1:8" x14ac:dyDescent="0.3">
      <c r="A18">
        <v>1018</v>
      </c>
      <c r="B18" t="s">
        <v>39</v>
      </c>
      <c r="C18" t="s">
        <v>38</v>
      </c>
      <c r="D18" t="s">
        <v>17</v>
      </c>
      <c r="E18" t="s">
        <v>29</v>
      </c>
      <c r="F18">
        <v>552</v>
      </c>
      <c r="G18">
        <v>245</v>
      </c>
      <c r="H18">
        <v>3</v>
      </c>
    </row>
    <row r="19" spans="1:8" x14ac:dyDescent="0.3">
      <c r="A19">
        <v>1019</v>
      </c>
      <c r="B19" t="s">
        <v>40</v>
      </c>
      <c r="C19" t="s">
        <v>38</v>
      </c>
      <c r="D19" t="s">
        <v>14</v>
      </c>
      <c r="E19" t="s">
        <v>24</v>
      </c>
      <c r="F19">
        <v>1799</v>
      </c>
      <c r="G19">
        <v>839</v>
      </c>
      <c r="H19">
        <v>10</v>
      </c>
    </row>
    <row r="20" spans="1:8" x14ac:dyDescent="0.3">
      <c r="A20">
        <v>1020</v>
      </c>
      <c r="B20" t="s">
        <v>41</v>
      </c>
      <c r="C20" t="s">
        <v>38</v>
      </c>
      <c r="D20" t="s">
        <v>14</v>
      </c>
      <c r="E20" t="s">
        <v>36</v>
      </c>
      <c r="F20">
        <v>3563</v>
      </c>
      <c r="G20">
        <v>319</v>
      </c>
      <c r="H20">
        <v>1</v>
      </c>
    </row>
    <row r="21" spans="1:8" x14ac:dyDescent="0.3">
      <c r="A21">
        <v>1021</v>
      </c>
      <c r="B21" t="s">
        <v>42</v>
      </c>
      <c r="C21" t="s">
        <v>23</v>
      </c>
      <c r="D21" t="s">
        <v>14</v>
      </c>
      <c r="E21" t="s">
        <v>15</v>
      </c>
      <c r="F21">
        <v>1347</v>
      </c>
      <c r="G21">
        <v>820</v>
      </c>
      <c r="H21">
        <v>10</v>
      </c>
    </row>
    <row r="22" spans="1:8" x14ac:dyDescent="0.3">
      <c r="A22">
        <v>1022</v>
      </c>
      <c r="B22" t="s">
        <v>43</v>
      </c>
      <c r="C22" t="s">
        <v>23</v>
      </c>
      <c r="D22" t="s">
        <v>14</v>
      </c>
      <c r="E22" t="s">
        <v>15</v>
      </c>
      <c r="F22">
        <v>2887</v>
      </c>
      <c r="G22">
        <v>881</v>
      </c>
      <c r="H22">
        <v>7</v>
      </c>
    </row>
    <row r="23" spans="1:8" x14ac:dyDescent="0.3">
      <c r="A23">
        <v>1023</v>
      </c>
      <c r="B23" t="s">
        <v>44</v>
      </c>
      <c r="C23" t="s">
        <v>38</v>
      </c>
      <c r="D23" t="s">
        <v>10</v>
      </c>
      <c r="E23" t="s">
        <v>34</v>
      </c>
      <c r="F23">
        <v>3693</v>
      </c>
      <c r="G23">
        <v>224</v>
      </c>
      <c r="H23">
        <v>6</v>
      </c>
    </row>
    <row r="24" spans="1:8" x14ac:dyDescent="0.3">
      <c r="A24">
        <v>1024</v>
      </c>
      <c r="B24" t="s">
        <v>45</v>
      </c>
      <c r="C24" t="s">
        <v>38</v>
      </c>
      <c r="D24" t="s">
        <v>14</v>
      </c>
      <c r="E24" t="s">
        <v>24</v>
      </c>
      <c r="F24">
        <v>1757</v>
      </c>
      <c r="G24">
        <v>409</v>
      </c>
      <c r="H24">
        <v>10</v>
      </c>
    </row>
    <row r="25" spans="1:8" x14ac:dyDescent="0.3">
      <c r="A25">
        <v>1025</v>
      </c>
      <c r="B25" t="s">
        <v>46</v>
      </c>
      <c r="C25" t="s">
        <v>13</v>
      </c>
      <c r="D25" t="s">
        <v>10</v>
      </c>
      <c r="E25" t="s">
        <v>34</v>
      </c>
      <c r="F25">
        <v>863</v>
      </c>
      <c r="G25">
        <v>433</v>
      </c>
      <c r="H25">
        <v>7</v>
      </c>
    </row>
    <row r="26" spans="1:8" x14ac:dyDescent="0.3">
      <c r="A26">
        <v>1026</v>
      </c>
      <c r="B26" t="s">
        <v>31</v>
      </c>
      <c r="C26" t="s">
        <v>23</v>
      </c>
      <c r="D26" t="s">
        <v>10</v>
      </c>
      <c r="E26" t="s">
        <v>27</v>
      </c>
      <c r="F26">
        <v>4498</v>
      </c>
      <c r="G26">
        <v>827</v>
      </c>
      <c r="H26">
        <v>6</v>
      </c>
    </row>
    <row r="27" spans="1:8" x14ac:dyDescent="0.3">
      <c r="A27">
        <v>1027</v>
      </c>
      <c r="B27" t="s">
        <v>47</v>
      </c>
      <c r="C27" t="s">
        <v>20</v>
      </c>
      <c r="D27" t="s">
        <v>10</v>
      </c>
      <c r="E27" t="s">
        <v>34</v>
      </c>
      <c r="F27">
        <v>1183</v>
      </c>
      <c r="G27">
        <v>199</v>
      </c>
      <c r="H27">
        <v>10</v>
      </c>
    </row>
    <row r="28" spans="1:8" x14ac:dyDescent="0.3">
      <c r="A28">
        <v>1028</v>
      </c>
      <c r="B28" t="s">
        <v>44</v>
      </c>
      <c r="C28" t="s">
        <v>23</v>
      </c>
      <c r="D28" t="s">
        <v>14</v>
      </c>
      <c r="E28" t="s">
        <v>36</v>
      </c>
      <c r="F28">
        <v>1361</v>
      </c>
      <c r="G28">
        <v>809</v>
      </c>
      <c r="H28">
        <v>3</v>
      </c>
    </row>
    <row r="29" spans="1:8" x14ac:dyDescent="0.3">
      <c r="A29">
        <v>1029</v>
      </c>
      <c r="B29" t="s">
        <v>48</v>
      </c>
      <c r="C29" t="s">
        <v>38</v>
      </c>
      <c r="D29" t="s">
        <v>17</v>
      </c>
      <c r="E29" t="s">
        <v>21</v>
      </c>
      <c r="F29">
        <v>2454</v>
      </c>
      <c r="G29">
        <v>975</v>
      </c>
      <c r="H29">
        <v>9</v>
      </c>
    </row>
    <row r="30" spans="1:8" x14ac:dyDescent="0.3">
      <c r="A30">
        <v>1030</v>
      </c>
      <c r="B30" t="s">
        <v>49</v>
      </c>
      <c r="C30" t="s">
        <v>38</v>
      </c>
      <c r="D30" t="s">
        <v>17</v>
      </c>
      <c r="E30" t="s">
        <v>18</v>
      </c>
      <c r="F30">
        <v>1450</v>
      </c>
      <c r="G30">
        <v>676</v>
      </c>
      <c r="H30">
        <v>3</v>
      </c>
    </row>
    <row r="31" spans="1:8" x14ac:dyDescent="0.3">
      <c r="A31">
        <v>1031</v>
      </c>
      <c r="B31" t="s">
        <v>42</v>
      </c>
      <c r="C31" t="s">
        <v>9</v>
      </c>
      <c r="D31" t="s">
        <v>10</v>
      </c>
      <c r="E31" t="s">
        <v>11</v>
      </c>
      <c r="F31">
        <v>3394</v>
      </c>
      <c r="G31">
        <v>77</v>
      </c>
      <c r="H31">
        <v>8</v>
      </c>
    </row>
    <row r="32" spans="1:8" x14ac:dyDescent="0.3">
      <c r="A32">
        <v>1032</v>
      </c>
      <c r="B32" t="s">
        <v>50</v>
      </c>
      <c r="C32" t="s">
        <v>38</v>
      </c>
      <c r="D32" t="s">
        <v>14</v>
      </c>
      <c r="E32" t="s">
        <v>36</v>
      </c>
      <c r="F32">
        <v>4062</v>
      </c>
      <c r="G32">
        <v>572</v>
      </c>
      <c r="H32">
        <v>7</v>
      </c>
    </row>
    <row r="33" spans="1:8" x14ac:dyDescent="0.3">
      <c r="A33">
        <v>1033</v>
      </c>
      <c r="B33" t="s">
        <v>51</v>
      </c>
      <c r="C33" t="s">
        <v>13</v>
      </c>
      <c r="D33" t="s">
        <v>14</v>
      </c>
      <c r="E33" t="s">
        <v>24</v>
      </c>
      <c r="F33">
        <v>943</v>
      </c>
      <c r="G33">
        <v>107</v>
      </c>
      <c r="H33">
        <v>1</v>
      </c>
    </row>
    <row r="34" spans="1:8" x14ac:dyDescent="0.3">
      <c r="A34">
        <v>1034</v>
      </c>
      <c r="B34" t="s">
        <v>52</v>
      </c>
      <c r="C34" t="s">
        <v>9</v>
      </c>
      <c r="D34" t="s">
        <v>17</v>
      </c>
      <c r="E34" t="s">
        <v>18</v>
      </c>
      <c r="F34">
        <v>1013</v>
      </c>
      <c r="G34">
        <v>172</v>
      </c>
      <c r="H34">
        <v>1</v>
      </c>
    </row>
    <row r="35" spans="1:8" x14ac:dyDescent="0.3">
      <c r="A35">
        <v>1035</v>
      </c>
      <c r="B35" t="s">
        <v>53</v>
      </c>
      <c r="C35" t="s">
        <v>20</v>
      </c>
      <c r="D35" t="s">
        <v>10</v>
      </c>
      <c r="E35" t="s">
        <v>27</v>
      </c>
      <c r="F35">
        <v>4622</v>
      </c>
      <c r="G35">
        <v>632</v>
      </c>
      <c r="H35">
        <v>7</v>
      </c>
    </row>
    <row r="36" spans="1:8" x14ac:dyDescent="0.3">
      <c r="A36">
        <v>1036</v>
      </c>
      <c r="B36" t="s">
        <v>54</v>
      </c>
      <c r="C36" t="s">
        <v>23</v>
      </c>
      <c r="D36" t="s">
        <v>17</v>
      </c>
      <c r="E36" t="s">
        <v>21</v>
      </c>
      <c r="F36">
        <v>2370</v>
      </c>
      <c r="G36">
        <v>647</v>
      </c>
      <c r="H36">
        <v>4</v>
      </c>
    </row>
    <row r="37" spans="1:8" x14ac:dyDescent="0.3">
      <c r="A37">
        <v>1037</v>
      </c>
      <c r="B37" t="s">
        <v>40</v>
      </c>
      <c r="C37" t="s">
        <v>23</v>
      </c>
      <c r="D37" t="s">
        <v>14</v>
      </c>
      <c r="E37" t="s">
        <v>15</v>
      </c>
      <c r="F37">
        <v>949</v>
      </c>
      <c r="G37">
        <v>781</v>
      </c>
      <c r="H37">
        <v>6</v>
      </c>
    </row>
    <row r="38" spans="1:8" x14ac:dyDescent="0.3">
      <c r="A38">
        <v>1038</v>
      </c>
      <c r="B38" t="s">
        <v>55</v>
      </c>
      <c r="C38" t="s">
        <v>38</v>
      </c>
      <c r="D38" t="s">
        <v>17</v>
      </c>
      <c r="E38" t="s">
        <v>18</v>
      </c>
      <c r="F38">
        <v>862</v>
      </c>
      <c r="G38">
        <v>814</v>
      </c>
      <c r="H38">
        <v>7</v>
      </c>
    </row>
    <row r="39" spans="1:8" x14ac:dyDescent="0.3">
      <c r="A39">
        <v>1039</v>
      </c>
      <c r="B39" t="s">
        <v>22</v>
      </c>
      <c r="C39" t="s">
        <v>13</v>
      </c>
      <c r="D39" t="s">
        <v>14</v>
      </c>
      <c r="E39" t="s">
        <v>36</v>
      </c>
      <c r="F39">
        <v>4192</v>
      </c>
      <c r="G39">
        <v>380</v>
      </c>
      <c r="H39">
        <v>9</v>
      </c>
    </row>
    <row r="40" spans="1:8" x14ac:dyDescent="0.3">
      <c r="A40">
        <v>1040</v>
      </c>
      <c r="B40" t="s">
        <v>28</v>
      </c>
      <c r="C40" t="s">
        <v>9</v>
      </c>
      <c r="D40" t="s">
        <v>14</v>
      </c>
      <c r="E40" t="s">
        <v>24</v>
      </c>
      <c r="F40">
        <v>3687</v>
      </c>
      <c r="G40">
        <v>383</v>
      </c>
      <c r="H40">
        <v>3</v>
      </c>
    </row>
    <row r="41" spans="1:8" x14ac:dyDescent="0.3">
      <c r="A41">
        <v>1041</v>
      </c>
      <c r="B41" t="s">
        <v>56</v>
      </c>
      <c r="C41" t="s">
        <v>9</v>
      </c>
      <c r="D41" t="s">
        <v>17</v>
      </c>
      <c r="E41" t="s">
        <v>18</v>
      </c>
      <c r="F41">
        <v>2602</v>
      </c>
      <c r="G41">
        <v>968</v>
      </c>
      <c r="H41">
        <v>10</v>
      </c>
    </row>
    <row r="42" spans="1:8" x14ac:dyDescent="0.3">
      <c r="A42">
        <v>1042</v>
      </c>
      <c r="B42" t="s">
        <v>57</v>
      </c>
      <c r="C42" t="s">
        <v>20</v>
      </c>
      <c r="D42" t="s">
        <v>14</v>
      </c>
      <c r="E42" t="s">
        <v>24</v>
      </c>
      <c r="F42">
        <v>3983</v>
      </c>
      <c r="G42">
        <v>305</v>
      </c>
      <c r="H42">
        <v>2</v>
      </c>
    </row>
    <row r="43" spans="1:8" x14ac:dyDescent="0.3">
      <c r="A43">
        <v>1043</v>
      </c>
      <c r="B43" t="s">
        <v>31</v>
      </c>
      <c r="C43" t="s">
        <v>20</v>
      </c>
      <c r="D43" t="s">
        <v>14</v>
      </c>
      <c r="E43" t="s">
        <v>36</v>
      </c>
      <c r="F43">
        <v>2926</v>
      </c>
      <c r="G43">
        <v>928</v>
      </c>
      <c r="H43">
        <v>4</v>
      </c>
    </row>
    <row r="44" spans="1:8" x14ac:dyDescent="0.3">
      <c r="A44">
        <v>1044</v>
      </c>
      <c r="B44" t="s">
        <v>26</v>
      </c>
      <c r="C44" t="s">
        <v>23</v>
      </c>
      <c r="D44" t="s">
        <v>10</v>
      </c>
      <c r="E44" t="s">
        <v>27</v>
      </c>
      <c r="F44">
        <v>1031</v>
      </c>
      <c r="G44">
        <v>745</v>
      </c>
      <c r="H44">
        <v>3</v>
      </c>
    </row>
    <row r="45" spans="1:8" x14ac:dyDescent="0.3">
      <c r="A45">
        <v>1045</v>
      </c>
      <c r="B45" t="s">
        <v>58</v>
      </c>
      <c r="C45" t="s">
        <v>20</v>
      </c>
      <c r="D45" t="s">
        <v>10</v>
      </c>
      <c r="E45" t="s">
        <v>34</v>
      </c>
      <c r="F45">
        <v>2119</v>
      </c>
      <c r="G45">
        <v>79</v>
      </c>
      <c r="H45">
        <v>6</v>
      </c>
    </row>
    <row r="46" spans="1:8" x14ac:dyDescent="0.3">
      <c r="A46">
        <v>1046</v>
      </c>
      <c r="B46" t="s">
        <v>59</v>
      </c>
      <c r="C46" t="s">
        <v>20</v>
      </c>
      <c r="D46" t="s">
        <v>17</v>
      </c>
      <c r="E46" t="s">
        <v>29</v>
      </c>
      <c r="F46">
        <v>1197</v>
      </c>
      <c r="G46">
        <v>263</v>
      </c>
      <c r="H46">
        <v>5</v>
      </c>
    </row>
    <row r="47" spans="1:8" x14ac:dyDescent="0.3">
      <c r="A47">
        <v>1047</v>
      </c>
      <c r="B47" t="s">
        <v>60</v>
      </c>
      <c r="C47" t="s">
        <v>20</v>
      </c>
      <c r="D47" t="s">
        <v>14</v>
      </c>
      <c r="E47" t="s">
        <v>36</v>
      </c>
      <c r="F47">
        <v>3273</v>
      </c>
      <c r="G47">
        <v>125</v>
      </c>
      <c r="H47">
        <v>10</v>
      </c>
    </row>
    <row r="48" spans="1:8" x14ac:dyDescent="0.3">
      <c r="A48">
        <v>1048</v>
      </c>
      <c r="B48" t="s">
        <v>47</v>
      </c>
      <c r="C48" t="s">
        <v>20</v>
      </c>
      <c r="D48" t="s">
        <v>10</v>
      </c>
      <c r="E48" t="s">
        <v>34</v>
      </c>
      <c r="F48">
        <v>1250</v>
      </c>
      <c r="G48">
        <v>103</v>
      </c>
      <c r="H48">
        <v>8</v>
      </c>
    </row>
    <row r="49" spans="1:8" x14ac:dyDescent="0.3">
      <c r="A49">
        <v>1049</v>
      </c>
      <c r="B49" t="s">
        <v>61</v>
      </c>
      <c r="C49" t="s">
        <v>20</v>
      </c>
      <c r="D49" t="s">
        <v>14</v>
      </c>
      <c r="E49" t="s">
        <v>24</v>
      </c>
      <c r="F49">
        <v>1684</v>
      </c>
      <c r="G49">
        <v>562</v>
      </c>
      <c r="H49">
        <v>10</v>
      </c>
    </row>
    <row r="50" spans="1:8" x14ac:dyDescent="0.3">
      <c r="A50">
        <v>1050</v>
      </c>
      <c r="B50" t="s">
        <v>62</v>
      </c>
      <c r="C50" t="s">
        <v>23</v>
      </c>
      <c r="D50" t="s">
        <v>14</v>
      </c>
      <c r="E50" t="s">
        <v>36</v>
      </c>
      <c r="F50">
        <v>4880</v>
      </c>
      <c r="G50">
        <v>832</v>
      </c>
      <c r="H50">
        <v>1</v>
      </c>
    </row>
    <row r="51" spans="1:8" x14ac:dyDescent="0.3">
      <c r="A51">
        <v>1051</v>
      </c>
      <c r="B51" t="s">
        <v>63</v>
      </c>
      <c r="C51" t="s">
        <v>9</v>
      </c>
      <c r="D51" t="s">
        <v>14</v>
      </c>
      <c r="E51" t="s">
        <v>36</v>
      </c>
      <c r="F51">
        <v>2341</v>
      </c>
      <c r="G51">
        <v>468</v>
      </c>
      <c r="H51">
        <v>5</v>
      </c>
    </row>
    <row r="52" spans="1:8" x14ac:dyDescent="0.3">
      <c r="A52">
        <v>1052</v>
      </c>
      <c r="B52" t="s">
        <v>64</v>
      </c>
      <c r="C52" t="s">
        <v>23</v>
      </c>
      <c r="D52" t="s">
        <v>17</v>
      </c>
      <c r="E52" t="s">
        <v>21</v>
      </c>
      <c r="F52">
        <v>2061</v>
      </c>
      <c r="G52">
        <v>846</v>
      </c>
      <c r="H52">
        <v>5</v>
      </c>
    </row>
    <row r="53" spans="1:8" x14ac:dyDescent="0.3">
      <c r="A53">
        <v>1053</v>
      </c>
      <c r="B53" t="s">
        <v>19</v>
      </c>
      <c r="C53" t="s">
        <v>20</v>
      </c>
      <c r="D53" t="s">
        <v>17</v>
      </c>
      <c r="E53" t="s">
        <v>29</v>
      </c>
      <c r="F53">
        <v>970</v>
      </c>
      <c r="G53">
        <v>256</v>
      </c>
      <c r="H53">
        <v>10</v>
      </c>
    </row>
    <row r="54" spans="1:8" x14ac:dyDescent="0.3">
      <c r="A54">
        <v>1054</v>
      </c>
      <c r="B54" t="s">
        <v>65</v>
      </c>
      <c r="C54" t="s">
        <v>38</v>
      </c>
      <c r="D54" t="s">
        <v>14</v>
      </c>
      <c r="E54" t="s">
        <v>24</v>
      </c>
      <c r="F54">
        <v>1177</v>
      </c>
      <c r="G54">
        <v>212</v>
      </c>
      <c r="H54">
        <v>7</v>
      </c>
    </row>
    <row r="55" spans="1:8" x14ac:dyDescent="0.3">
      <c r="A55">
        <v>1055</v>
      </c>
      <c r="B55" t="s">
        <v>66</v>
      </c>
      <c r="C55" t="s">
        <v>23</v>
      </c>
      <c r="D55" t="s">
        <v>14</v>
      </c>
      <c r="E55" t="s">
        <v>36</v>
      </c>
      <c r="F55">
        <v>3447</v>
      </c>
      <c r="G55">
        <v>501</v>
      </c>
      <c r="H55">
        <v>7</v>
      </c>
    </row>
    <row r="56" spans="1:8" x14ac:dyDescent="0.3">
      <c r="A56">
        <v>1056</v>
      </c>
      <c r="B56" t="s">
        <v>30</v>
      </c>
      <c r="C56" t="s">
        <v>9</v>
      </c>
      <c r="D56" t="s">
        <v>17</v>
      </c>
      <c r="E56" t="s">
        <v>29</v>
      </c>
      <c r="F56">
        <v>3765</v>
      </c>
      <c r="G56">
        <v>118</v>
      </c>
      <c r="H56">
        <v>6</v>
      </c>
    </row>
    <row r="57" spans="1:8" x14ac:dyDescent="0.3">
      <c r="A57">
        <v>1057</v>
      </c>
      <c r="B57" t="s">
        <v>67</v>
      </c>
      <c r="C57" t="s">
        <v>9</v>
      </c>
      <c r="D57" t="s">
        <v>17</v>
      </c>
      <c r="E57" t="s">
        <v>21</v>
      </c>
      <c r="F57">
        <v>2975</v>
      </c>
      <c r="G57">
        <v>551</v>
      </c>
      <c r="H57">
        <v>6</v>
      </c>
    </row>
    <row r="58" spans="1:8" x14ac:dyDescent="0.3">
      <c r="A58">
        <v>1058</v>
      </c>
      <c r="B58" t="s">
        <v>68</v>
      </c>
      <c r="C58" t="s">
        <v>13</v>
      </c>
      <c r="D58" t="s">
        <v>10</v>
      </c>
      <c r="E58" t="s">
        <v>11</v>
      </c>
      <c r="F58">
        <v>2433</v>
      </c>
      <c r="G58">
        <v>211</v>
      </c>
      <c r="H58">
        <v>7</v>
      </c>
    </row>
    <row r="59" spans="1:8" x14ac:dyDescent="0.3">
      <c r="A59">
        <v>1059</v>
      </c>
      <c r="B59" t="s">
        <v>37</v>
      </c>
      <c r="C59" t="s">
        <v>13</v>
      </c>
      <c r="D59" t="s">
        <v>14</v>
      </c>
      <c r="E59" t="s">
        <v>36</v>
      </c>
      <c r="F59">
        <v>2201</v>
      </c>
      <c r="G59">
        <v>842</v>
      </c>
      <c r="H59">
        <v>4</v>
      </c>
    </row>
    <row r="60" spans="1:8" x14ac:dyDescent="0.3">
      <c r="A60">
        <v>1060</v>
      </c>
      <c r="B60" t="s">
        <v>69</v>
      </c>
      <c r="C60" t="s">
        <v>23</v>
      </c>
      <c r="D60" t="s">
        <v>17</v>
      </c>
      <c r="E60" t="s">
        <v>18</v>
      </c>
      <c r="F60">
        <v>3119</v>
      </c>
      <c r="G60">
        <v>970</v>
      </c>
      <c r="H60">
        <v>1</v>
      </c>
    </row>
    <row r="61" spans="1:8" x14ac:dyDescent="0.3">
      <c r="A61">
        <v>1061</v>
      </c>
      <c r="B61" t="s">
        <v>70</v>
      </c>
      <c r="C61" t="s">
        <v>13</v>
      </c>
      <c r="D61" t="s">
        <v>17</v>
      </c>
      <c r="E61" t="s">
        <v>21</v>
      </c>
      <c r="F61">
        <v>3737</v>
      </c>
      <c r="G61">
        <v>683</v>
      </c>
      <c r="H61">
        <v>9</v>
      </c>
    </row>
    <row r="62" spans="1:8" x14ac:dyDescent="0.3">
      <c r="A62">
        <v>1062</v>
      </c>
      <c r="B62" t="s">
        <v>69</v>
      </c>
      <c r="C62" t="s">
        <v>38</v>
      </c>
      <c r="D62" t="s">
        <v>10</v>
      </c>
      <c r="E62" t="s">
        <v>27</v>
      </c>
      <c r="F62">
        <v>2490</v>
      </c>
      <c r="G62">
        <v>155</v>
      </c>
      <c r="H62">
        <v>1</v>
      </c>
    </row>
    <row r="63" spans="1:8" x14ac:dyDescent="0.3">
      <c r="A63">
        <v>1063</v>
      </c>
      <c r="B63" t="s">
        <v>71</v>
      </c>
      <c r="C63" t="s">
        <v>13</v>
      </c>
      <c r="D63" t="s">
        <v>10</v>
      </c>
      <c r="E63" t="s">
        <v>27</v>
      </c>
      <c r="F63">
        <v>3668</v>
      </c>
      <c r="G63">
        <v>206</v>
      </c>
      <c r="H63">
        <v>8</v>
      </c>
    </row>
    <row r="64" spans="1:8" x14ac:dyDescent="0.3">
      <c r="A64">
        <v>1064</v>
      </c>
      <c r="B64" t="s">
        <v>28</v>
      </c>
      <c r="C64" t="s">
        <v>13</v>
      </c>
      <c r="D64" t="s">
        <v>17</v>
      </c>
      <c r="E64" t="s">
        <v>18</v>
      </c>
      <c r="F64">
        <v>3274</v>
      </c>
      <c r="G64">
        <v>957</v>
      </c>
      <c r="H64">
        <v>9</v>
      </c>
    </row>
    <row r="65" spans="1:8" x14ac:dyDescent="0.3">
      <c r="A65">
        <v>1065</v>
      </c>
      <c r="B65" t="s">
        <v>31</v>
      </c>
      <c r="C65" t="s">
        <v>38</v>
      </c>
      <c r="D65" t="s">
        <v>14</v>
      </c>
      <c r="E65" t="s">
        <v>36</v>
      </c>
      <c r="F65">
        <v>3407</v>
      </c>
      <c r="G65">
        <v>620</v>
      </c>
      <c r="H65">
        <v>1</v>
      </c>
    </row>
    <row r="66" spans="1:8" x14ac:dyDescent="0.3">
      <c r="A66">
        <v>1066</v>
      </c>
      <c r="B66" t="s">
        <v>72</v>
      </c>
      <c r="C66" t="s">
        <v>38</v>
      </c>
      <c r="D66" t="s">
        <v>14</v>
      </c>
      <c r="E66" t="s">
        <v>15</v>
      </c>
      <c r="F66">
        <v>532</v>
      </c>
      <c r="G66">
        <v>421</v>
      </c>
      <c r="H66">
        <v>3</v>
      </c>
    </row>
    <row r="67" spans="1:8" x14ac:dyDescent="0.3">
      <c r="A67">
        <v>1067</v>
      </c>
      <c r="B67" t="s">
        <v>73</v>
      </c>
      <c r="C67" t="s">
        <v>20</v>
      </c>
      <c r="D67" t="s">
        <v>17</v>
      </c>
      <c r="E67" t="s">
        <v>18</v>
      </c>
      <c r="F67">
        <v>2258</v>
      </c>
      <c r="G67">
        <v>128</v>
      </c>
      <c r="H67">
        <v>9</v>
      </c>
    </row>
    <row r="68" spans="1:8" x14ac:dyDescent="0.3">
      <c r="A68">
        <v>1068</v>
      </c>
      <c r="B68" t="s">
        <v>74</v>
      </c>
      <c r="C68" t="s">
        <v>38</v>
      </c>
      <c r="D68" t="s">
        <v>17</v>
      </c>
      <c r="E68" t="s">
        <v>29</v>
      </c>
      <c r="F68">
        <v>1781</v>
      </c>
      <c r="G68">
        <v>341</v>
      </c>
      <c r="H68">
        <v>1</v>
      </c>
    </row>
    <row r="69" spans="1:8" x14ac:dyDescent="0.3">
      <c r="A69">
        <v>1069</v>
      </c>
      <c r="B69" t="s">
        <v>39</v>
      </c>
      <c r="C69" t="s">
        <v>38</v>
      </c>
      <c r="D69" t="s">
        <v>17</v>
      </c>
      <c r="E69" t="s">
        <v>21</v>
      </c>
      <c r="F69">
        <v>1548</v>
      </c>
      <c r="G69">
        <v>464</v>
      </c>
      <c r="H69">
        <v>4</v>
      </c>
    </row>
    <row r="70" spans="1:8" x14ac:dyDescent="0.3">
      <c r="A70">
        <v>1070</v>
      </c>
      <c r="B70" t="s">
        <v>49</v>
      </c>
      <c r="C70" t="s">
        <v>20</v>
      </c>
      <c r="D70" t="s">
        <v>14</v>
      </c>
      <c r="E70" t="s">
        <v>36</v>
      </c>
      <c r="F70">
        <v>1992</v>
      </c>
      <c r="G70">
        <v>247</v>
      </c>
      <c r="H70">
        <v>4</v>
      </c>
    </row>
    <row r="71" spans="1:8" x14ac:dyDescent="0.3">
      <c r="A71">
        <v>1071</v>
      </c>
      <c r="B71" t="s">
        <v>39</v>
      </c>
      <c r="C71" t="s">
        <v>20</v>
      </c>
      <c r="D71" t="s">
        <v>10</v>
      </c>
      <c r="E71" t="s">
        <v>27</v>
      </c>
      <c r="F71">
        <v>4542</v>
      </c>
      <c r="G71">
        <v>64</v>
      </c>
      <c r="H71">
        <v>6</v>
      </c>
    </row>
    <row r="72" spans="1:8" x14ac:dyDescent="0.3">
      <c r="A72">
        <v>1072</v>
      </c>
      <c r="B72" t="s">
        <v>75</v>
      </c>
      <c r="C72" t="s">
        <v>38</v>
      </c>
      <c r="D72" t="s">
        <v>14</v>
      </c>
      <c r="E72" t="s">
        <v>15</v>
      </c>
      <c r="F72">
        <v>4983</v>
      </c>
      <c r="G72">
        <v>469</v>
      </c>
      <c r="H72">
        <v>4</v>
      </c>
    </row>
    <row r="73" spans="1:8" x14ac:dyDescent="0.3">
      <c r="A73">
        <v>1073</v>
      </c>
      <c r="B73" t="s">
        <v>76</v>
      </c>
      <c r="C73" t="s">
        <v>9</v>
      </c>
      <c r="D73" t="s">
        <v>14</v>
      </c>
      <c r="E73" t="s">
        <v>36</v>
      </c>
      <c r="F73">
        <v>2029</v>
      </c>
      <c r="G73">
        <v>505</v>
      </c>
      <c r="H73">
        <v>6</v>
      </c>
    </row>
    <row r="74" spans="1:8" x14ac:dyDescent="0.3">
      <c r="A74">
        <v>1074</v>
      </c>
      <c r="B74" t="s">
        <v>69</v>
      </c>
      <c r="C74" t="s">
        <v>38</v>
      </c>
      <c r="D74" t="s">
        <v>17</v>
      </c>
      <c r="E74" t="s">
        <v>29</v>
      </c>
      <c r="F74">
        <v>1243</v>
      </c>
      <c r="G74">
        <v>989</v>
      </c>
      <c r="H74">
        <v>1</v>
      </c>
    </row>
    <row r="75" spans="1:8" x14ac:dyDescent="0.3">
      <c r="A75">
        <v>1075</v>
      </c>
      <c r="B75" t="s">
        <v>47</v>
      </c>
      <c r="C75" t="s">
        <v>20</v>
      </c>
      <c r="D75" t="s">
        <v>17</v>
      </c>
      <c r="E75" t="s">
        <v>18</v>
      </c>
      <c r="F75">
        <v>1561</v>
      </c>
      <c r="G75">
        <v>510</v>
      </c>
      <c r="H75">
        <v>10</v>
      </c>
    </row>
    <row r="76" spans="1:8" x14ac:dyDescent="0.3">
      <c r="A76">
        <v>1076</v>
      </c>
      <c r="B76" t="s">
        <v>56</v>
      </c>
      <c r="C76" t="s">
        <v>9</v>
      </c>
      <c r="D76" t="s">
        <v>17</v>
      </c>
      <c r="E76" t="s">
        <v>21</v>
      </c>
      <c r="F76">
        <v>2310</v>
      </c>
      <c r="G76">
        <v>282</v>
      </c>
      <c r="H76">
        <v>3</v>
      </c>
    </row>
    <row r="77" spans="1:8" x14ac:dyDescent="0.3">
      <c r="A77">
        <v>1077</v>
      </c>
      <c r="B77" t="s">
        <v>45</v>
      </c>
      <c r="C77" t="s">
        <v>23</v>
      </c>
      <c r="D77" t="s">
        <v>10</v>
      </c>
      <c r="E77" t="s">
        <v>11</v>
      </c>
      <c r="F77">
        <v>1153</v>
      </c>
      <c r="G77">
        <v>938</v>
      </c>
      <c r="H77">
        <v>10</v>
      </c>
    </row>
    <row r="78" spans="1:8" x14ac:dyDescent="0.3">
      <c r="A78">
        <v>1078</v>
      </c>
      <c r="B78" t="s">
        <v>77</v>
      </c>
      <c r="C78" t="s">
        <v>9</v>
      </c>
      <c r="D78" t="s">
        <v>14</v>
      </c>
      <c r="E78" t="s">
        <v>15</v>
      </c>
      <c r="F78">
        <v>1936</v>
      </c>
      <c r="G78">
        <v>757</v>
      </c>
      <c r="H78">
        <v>2</v>
      </c>
    </row>
    <row r="79" spans="1:8" x14ac:dyDescent="0.3">
      <c r="A79">
        <v>1079</v>
      </c>
      <c r="B79" t="s">
        <v>78</v>
      </c>
      <c r="C79" t="s">
        <v>13</v>
      </c>
      <c r="D79" t="s">
        <v>10</v>
      </c>
      <c r="E79" t="s">
        <v>27</v>
      </c>
      <c r="F79">
        <v>2821</v>
      </c>
      <c r="G79">
        <v>271</v>
      </c>
      <c r="H79">
        <v>5</v>
      </c>
    </row>
    <row r="80" spans="1:8" x14ac:dyDescent="0.3">
      <c r="A80">
        <v>1080</v>
      </c>
      <c r="B80" t="s">
        <v>70</v>
      </c>
      <c r="C80" t="s">
        <v>13</v>
      </c>
      <c r="D80" t="s">
        <v>10</v>
      </c>
      <c r="E80" t="s">
        <v>11</v>
      </c>
      <c r="F80">
        <v>1395</v>
      </c>
      <c r="G80">
        <v>751</v>
      </c>
      <c r="H80">
        <v>1</v>
      </c>
    </row>
    <row r="81" spans="1:8" x14ac:dyDescent="0.3">
      <c r="A81">
        <v>1081</v>
      </c>
      <c r="B81" t="s">
        <v>79</v>
      </c>
      <c r="C81" t="s">
        <v>23</v>
      </c>
      <c r="D81" t="s">
        <v>14</v>
      </c>
      <c r="E81" t="s">
        <v>36</v>
      </c>
      <c r="F81">
        <v>3487</v>
      </c>
      <c r="G81">
        <v>945</v>
      </c>
      <c r="H81">
        <v>1</v>
      </c>
    </row>
    <row r="82" spans="1:8" x14ac:dyDescent="0.3">
      <c r="A82">
        <v>1082</v>
      </c>
      <c r="B82" t="s">
        <v>71</v>
      </c>
      <c r="C82" t="s">
        <v>20</v>
      </c>
      <c r="D82" t="s">
        <v>17</v>
      </c>
      <c r="E82" t="s">
        <v>18</v>
      </c>
      <c r="F82">
        <v>623</v>
      </c>
      <c r="G82">
        <v>468</v>
      </c>
      <c r="H82">
        <v>5</v>
      </c>
    </row>
    <row r="83" spans="1:8" x14ac:dyDescent="0.3">
      <c r="A83">
        <v>1083</v>
      </c>
      <c r="B83" t="s">
        <v>80</v>
      </c>
      <c r="C83" t="s">
        <v>20</v>
      </c>
      <c r="D83" t="s">
        <v>17</v>
      </c>
      <c r="E83" t="s">
        <v>18</v>
      </c>
      <c r="F83">
        <v>4527</v>
      </c>
      <c r="G83">
        <v>75</v>
      </c>
      <c r="H83">
        <v>2</v>
      </c>
    </row>
    <row r="84" spans="1:8" x14ac:dyDescent="0.3">
      <c r="A84">
        <v>1084</v>
      </c>
      <c r="B84" t="s">
        <v>46</v>
      </c>
      <c r="C84" t="s">
        <v>20</v>
      </c>
      <c r="D84" t="s">
        <v>14</v>
      </c>
      <c r="E84" t="s">
        <v>36</v>
      </c>
      <c r="F84">
        <v>4581</v>
      </c>
      <c r="G84">
        <v>327</v>
      </c>
      <c r="H84">
        <v>5</v>
      </c>
    </row>
    <row r="85" spans="1:8" x14ac:dyDescent="0.3">
      <c r="A85">
        <v>1085</v>
      </c>
      <c r="B85" t="s">
        <v>81</v>
      </c>
      <c r="C85" t="s">
        <v>38</v>
      </c>
      <c r="D85" t="s">
        <v>10</v>
      </c>
      <c r="E85" t="s">
        <v>11</v>
      </c>
      <c r="F85">
        <v>4399</v>
      </c>
      <c r="G85">
        <v>282</v>
      </c>
      <c r="H85">
        <v>5</v>
      </c>
    </row>
    <row r="86" spans="1:8" x14ac:dyDescent="0.3">
      <c r="A86">
        <v>1086</v>
      </c>
      <c r="B86" t="s">
        <v>82</v>
      </c>
      <c r="C86" t="s">
        <v>38</v>
      </c>
      <c r="D86" t="s">
        <v>14</v>
      </c>
      <c r="E86" t="s">
        <v>24</v>
      </c>
      <c r="F86">
        <v>2443</v>
      </c>
      <c r="G86">
        <v>76</v>
      </c>
      <c r="H86">
        <v>9</v>
      </c>
    </row>
    <row r="87" spans="1:8" x14ac:dyDescent="0.3">
      <c r="A87">
        <v>1087</v>
      </c>
      <c r="B87" t="s">
        <v>64</v>
      </c>
      <c r="C87" t="s">
        <v>13</v>
      </c>
      <c r="D87" t="s">
        <v>17</v>
      </c>
      <c r="E87" t="s">
        <v>21</v>
      </c>
      <c r="F87">
        <v>1614</v>
      </c>
      <c r="G87">
        <v>117</v>
      </c>
      <c r="H87">
        <v>1</v>
      </c>
    </row>
    <row r="88" spans="1:8" x14ac:dyDescent="0.3">
      <c r="A88">
        <v>1088</v>
      </c>
      <c r="B88" t="s">
        <v>50</v>
      </c>
      <c r="C88" t="s">
        <v>9</v>
      </c>
      <c r="D88" t="s">
        <v>17</v>
      </c>
      <c r="E88" t="s">
        <v>21</v>
      </c>
      <c r="F88">
        <v>3793</v>
      </c>
      <c r="G88">
        <v>211</v>
      </c>
      <c r="H88">
        <v>4</v>
      </c>
    </row>
    <row r="89" spans="1:8" x14ac:dyDescent="0.3">
      <c r="A89">
        <v>1089</v>
      </c>
      <c r="B89" t="s">
        <v>41</v>
      </c>
      <c r="C89" t="s">
        <v>9</v>
      </c>
      <c r="D89" t="s">
        <v>14</v>
      </c>
      <c r="E89" t="s">
        <v>36</v>
      </c>
      <c r="F89">
        <v>3754</v>
      </c>
      <c r="G89">
        <v>228</v>
      </c>
      <c r="H89">
        <v>7</v>
      </c>
    </row>
    <row r="90" spans="1:8" x14ac:dyDescent="0.3">
      <c r="A90">
        <v>1090</v>
      </c>
      <c r="B90" t="s">
        <v>58</v>
      </c>
      <c r="C90" t="s">
        <v>13</v>
      </c>
      <c r="D90" t="s">
        <v>10</v>
      </c>
      <c r="E90" t="s">
        <v>34</v>
      </c>
      <c r="F90">
        <v>3757</v>
      </c>
      <c r="G90">
        <v>390</v>
      </c>
      <c r="H90">
        <v>5</v>
      </c>
    </row>
    <row r="91" spans="1:8" x14ac:dyDescent="0.3">
      <c r="A91">
        <v>1091</v>
      </c>
      <c r="B91" t="s">
        <v>83</v>
      </c>
      <c r="C91" t="s">
        <v>13</v>
      </c>
      <c r="D91" t="s">
        <v>17</v>
      </c>
      <c r="E91" t="s">
        <v>29</v>
      </c>
      <c r="F91">
        <v>684</v>
      </c>
      <c r="G91">
        <v>114</v>
      </c>
      <c r="H91">
        <v>5</v>
      </c>
    </row>
    <row r="92" spans="1:8" x14ac:dyDescent="0.3">
      <c r="A92">
        <v>1092</v>
      </c>
      <c r="B92" t="s">
        <v>65</v>
      </c>
      <c r="C92" t="s">
        <v>20</v>
      </c>
      <c r="D92" t="s">
        <v>14</v>
      </c>
      <c r="E92" t="s">
        <v>36</v>
      </c>
      <c r="F92">
        <v>714</v>
      </c>
      <c r="G92">
        <v>584</v>
      </c>
      <c r="H92">
        <v>3</v>
      </c>
    </row>
    <row r="93" spans="1:8" x14ac:dyDescent="0.3">
      <c r="A93">
        <v>1093</v>
      </c>
      <c r="B93" t="s">
        <v>16</v>
      </c>
      <c r="C93" t="s">
        <v>23</v>
      </c>
      <c r="D93" t="s">
        <v>14</v>
      </c>
      <c r="E93" t="s">
        <v>24</v>
      </c>
      <c r="F93">
        <v>4233</v>
      </c>
      <c r="G93">
        <v>467</v>
      </c>
      <c r="H93">
        <v>9</v>
      </c>
    </row>
    <row r="94" spans="1:8" x14ac:dyDescent="0.3">
      <c r="A94">
        <v>1094</v>
      </c>
      <c r="B94" t="s">
        <v>53</v>
      </c>
      <c r="C94" t="s">
        <v>38</v>
      </c>
      <c r="D94" t="s">
        <v>14</v>
      </c>
      <c r="E94" t="s">
        <v>24</v>
      </c>
      <c r="F94">
        <v>1567</v>
      </c>
      <c r="G94">
        <v>754</v>
      </c>
      <c r="H94">
        <v>4</v>
      </c>
    </row>
    <row r="95" spans="1:8" x14ac:dyDescent="0.3">
      <c r="A95">
        <v>1095</v>
      </c>
      <c r="B95" t="s">
        <v>65</v>
      </c>
      <c r="C95" t="s">
        <v>9</v>
      </c>
      <c r="D95" t="s">
        <v>10</v>
      </c>
      <c r="E95" t="s">
        <v>11</v>
      </c>
      <c r="F95">
        <v>4237</v>
      </c>
      <c r="G95">
        <v>450</v>
      </c>
      <c r="H95">
        <v>4</v>
      </c>
    </row>
    <row r="96" spans="1:8" x14ac:dyDescent="0.3">
      <c r="A96">
        <v>1096</v>
      </c>
      <c r="B96" t="s">
        <v>84</v>
      </c>
      <c r="C96" t="s">
        <v>23</v>
      </c>
      <c r="D96" t="s">
        <v>14</v>
      </c>
      <c r="E96" t="s">
        <v>24</v>
      </c>
      <c r="F96">
        <v>4930</v>
      </c>
      <c r="G96">
        <v>101</v>
      </c>
      <c r="H96">
        <v>7</v>
      </c>
    </row>
    <row r="97" spans="1:8" x14ac:dyDescent="0.3">
      <c r="A97">
        <v>1097</v>
      </c>
      <c r="B97" t="s">
        <v>85</v>
      </c>
      <c r="C97" t="s">
        <v>9</v>
      </c>
      <c r="D97" t="s">
        <v>14</v>
      </c>
      <c r="E97" t="s">
        <v>36</v>
      </c>
      <c r="F97">
        <v>4570</v>
      </c>
      <c r="G97">
        <v>364</v>
      </c>
      <c r="H97">
        <v>9</v>
      </c>
    </row>
    <row r="98" spans="1:8" x14ac:dyDescent="0.3">
      <c r="A98">
        <v>1098</v>
      </c>
      <c r="B98" t="s">
        <v>86</v>
      </c>
      <c r="C98" t="s">
        <v>38</v>
      </c>
      <c r="D98" t="s">
        <v>10</v>
      </c>
      <c r="E98" t="s">
        <v>11</v>
      </c>
      <c r="F98">
        <v>3297</v>
      </c>
      <c r="G98">
        <v>106</v>
      </c>
      <c r="H98">
        <v>10</v>
      </c>
    </row>
    <row r="99" spans="1:8" x14ac:dyDescent="0.3">
      <c r="A99">
        <v>1099</v>
      </c>
      <c r="B99" t="s">
        <v>87</v>
      </c>
      <c r="C99" t="s">
        <v>20</v>
      </c>
      <c r="D99" t="s">
        <v>14</v>
      </c>
      <c r="E99" t="s">
        <v>15</v>
      </c>
      <c r="F99">
        <v>1918</v>
      </c>
      <c r="G99">
        <v>625</v>
      </c>
      <c r="H99">
        <v>6</v>
      </c>
    </row>
    <row r="100" spans="1:8" x14ac:dyDescent="0.3">
      <c r="A100">
        <v>1100</v>
      </c>
      <c r="B100" t="s">
        <v>41</v>
      </c>
      <c r="C100" t="s">
        <v>23</v>
      </c>
      <c r="D100" t="s">
        <v>10</v>
      </c>
      <c r="E100" t="s">
        <v>11</v>
      </c>
      <c r="F100">
        <v>2412</v>
      </c>
      <c r="G100">
        <v>234</v>
      </c>
      <c r="H100">
        <v>6</v>
      </c>
    </row>
    <row r="101" spans="1:8" x14ac:dyDescent="0.3">
      <c r="A101">
        <v>1101</v>
      </c>
      <c r="B101" t="s">
        <v>88</v>
      </c>
      <c r="C101" t="s">
        <v>38</v>
      </c>
      <c r="D101" t="s">
        <v>17</v>
      </c>
      <c r="E101" t="s">
        <v>18</v>
      </c>
      <c r="F101">
        <v>2761</v>
      </c>
      <c r="G101">
        <v>718</v>
      </c>
      <c r="H101">
        <v>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defaultRowHeight="14.4" x14ac:dyDescent="0.3"/>
  <sheetData>
    <row r="1" spans="1:1" x14ac:dyDescent="0.3">
      <c r="A1" s="1" t="s">
        <v>89</v>
      </c>
    </row>
    <row r="3" spans="1:1" x14ac:dyDescent="0.3">
      <c r="A3" t="s">
        <v>90</v>
      </c>
    </row>
    <row r="4" spans="1:1" x14ac:dyDescent="0.3">
      <c r="A4" t="s">
        <v>91</v>
      </c>
    </row>
    <row r="5" spans="1:1" x14ac:dyDescent="0.3">
      <c r="A5" t="s">
        <v>92</v>
      </c>
    </row>
    <row r="6" spans="1:1" x14ac:dyDescent="0.3">
      <c r="A6" t="s">
        <v>93</v>
      </c>
    </row>
    <row r="7" spans="1:1" x14ac:dyDescent="0.3">
      <c r="A7" t="s">
        <v>94</v>
      </c>
    </row>
    <row r="8" spans="1:1" x14ac:dyDescent="0.3">
      <c r="A8" t="s">
        <v>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Dashboard</vt:lpstr>
      <vt:lpstr>SalesData</vt:lpstr>
      <vt:lpstr>PracticeTasks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RAVAL KRUNAL</cp:lastModifiedBy>
  <dcterms:created xsi:type="dcterms:W3CDTF">2026-05-12T05:00:20Z</dcterms:created>
  <dcterms:modified xsi:type="dcterms:W3CDTF">2026-05-12T06:31:28Z</dcterms:modified>
</cp:coreProperties>
</file>