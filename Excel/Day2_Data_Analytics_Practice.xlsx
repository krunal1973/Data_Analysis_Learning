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46E15E7C-A561-49E0-90D8-4654F24DF52E}" xr6:coauthVersionLast="47" xr6:coauthVersionMax="47" xr10:uidLastSave="{00000000-0000-0000-0000-000000000000}"/>
  <bookViews>
    <workbookView xWindow="13728" yWindow="0" windowWidth="9408" windowHeight="12336" firstSheet="1" activeTab="1" xr2:uid="{00000000-000D-0000-FFFF-FFFF00000000}"/>
  </bookViews>
  <sheets>
    <sheet name="Excel Day2" sheetId="1" r:id="rId1"/>
    <sheet name="SQL Day2" sheetId="2" r:id="rId2"/>
    <sheet name="Python Day2" sheetId="3" r:id="rId3"/>
  </sheets>
  <calcPr calcId="191029"/>
</workbook>
</file>

<file path=xl/calcChain.xml><?xml version="1.0" encoding="utf-8"?>
<calcChain xmlns="http://schemas.openxmlformats.org/spreadsheetml/2006/main">
  <c r="H3" i="1" l="1"/>
  <c r="I4" i="1"/>
  <c r="I3" i="1"/>
  <c r="G4" i="1"/>
  <c r="G5" i="1"/>
  <c r="G6" i="1"/>
  <c r="G3" i="1"/>
  <c r="G2" i="1"/>
  <c r="F4" i="1"/>
  <c r="F5" i="1"/>
  <c r="F6" i="1"/>
  <c r="F3" i="1"/>
  <c r="I2" i="1"/>
  <c r="H2" i="1"/>
  <c r="F2" i="1"/>
</calcChain>
</file>

<file path=xl/sharedStrings.xml><?xml version="1.0" encoding="utf-8"?>
<sst xmlns="http://schemas.openxmlformats.org/spreadsheetml/2006/main" count="38" uniqueCount="35">
  <si>
    <t>Student</t>
  </si>
  <si>
    <t>Marks</t>
  </si>
  <si>
    <t>Department</t>
  </si>
  <si>
    <t>Salary</t>
  </si>
  <si>
    <t>IF Result</t>
  </si>
  <si>
    <t>Nested IF Grade</t>
  </si>
  <si>
    <t>COUNTIF</t>
  </si>
  <si>
    <t>SUMIF</t>
  </si>
  <si>
    <t>Amit</t>
  </si>
  <si>
    <t>IT</t>
  </si>
  <si>
    <t>Riya</t>
  </si>
  <si>
    <t>HR</t>
  </si>
  <si>
    <t>Krunal</t>
  </si>
  <si>
    <t>Neha</t>
  </si>
  <si>
    <t>Finance</t>
  </si>
  <si>
    <t>Jay</t>
  </si>
  <si>
    <t>Topic</t>
  </si>
  <si>
    <t>Example Query</t>
  </si>
  <si>
    <t>ORDER BY ASC</t>
  </si>
  <si>
    <t>SELECT * FROM employees ORDER BY salary ASC;</t>
  </si>
  <si>
    <t>ORDER BY DESC</t>
  </si>
  <si>
    <t>SELECT * FROM employees ORDER BY salary DESC;</t>
  </si>
  <si>
    <t>DISTINCT</t>
  </si>
  <si>
    <t>SELECT DISTINCT city FROM employees;</t>
  </si>
  <si>
    <t>LIMIT</t>
  </si>
  <si>
    <t>SELECT * FROM employees LIMIT 5;</t>
  </si>
  <si>
    <t>Example</t>
  </si>
  <si>
    <t>List</t>
  </si>
  <si>
    <t>fruits = ["Apple", "Banana", "Mango"]</t>
  </si>
  <si>
    <t>Tuple</t>
  </si>
  <si>
    <t>colors = ("Red", "Blue", "Green")</t>
  </si>
  <si>
    <t>Set</t>
  </si>
  <si>
    <t>numbers = {1, 2, 3, 3, 4}</t>
  </si>
  <si>
    <t>Dictionary</t>
  </si>
  <si>
    <t>student = {"name":"Krunal","age":24}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</si>
</sst>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H4" sqref="H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85</v>
      </c>
      <c r="C2" t="s">
        <v>9</v>
      </c>
      <c r="D2">
        <v>50000</v>
      </c>
      <c r="F2" t="str">
        <f>IF(B2&gt;=35,"Pass","Fail")</f>
        <v>Pass</v>
      </c>
      <c r="G2" t="str">
        <f>IF(B2&gt;=90,"A",IF(B2&gt;=75,"B",IF(B2&gt;=50,"C","Fail")))</f>
        <v>B</v>
      </c>
      <c r="H2">
        <f>COUNTIF(F2:F6,"Pass")</f>
        <v>4</v>
      </c>
      <c r="I2">
        <f>SUMIF(C2:C6,"IT",D2:D6)</f>
        <v>145000</v>
      </c>
    </row>
    <row r="3" spans="1:9" x14ac:dyDescent="0.3">
      <c r="A3" t="s">
        <v>10</v>
      </c>
      <c r="B3">
        <v>72</v>
      </c>
      <c r="C3" t="s">
        <v>11</v>
      </c>
      <c r="D3">
        <v>42000</v>
      </c>
      <c r="F3" t="str">
        <f>IF(B3&gt;35,"Pass","Fail")</f>
        <v>Pass</v>
      </c>
      <c r="G3" t="str">
        <f>IF(B3&gt;=90,"A",IF(B3&gt;=75,"B",IF(B3&gt;=50,"C","Fail")))</f>
        <v>C</v>
      </c>
      <c r="H3">
        <f>COUNTIF(F2:F6,"Fail")</f>
        <v>1</v>
      </c>
      <c r="I3">
        <f>SUMIF(C2:C6,"HR",D2:D6)</f>
        <v>42000</v>
      </c>
    </row>
    <row r="4" spans="1:9" x14ac:dyDescent="0.3">
      <c r="A4" t="s">
        <v>12</v>
      </c>
      <c r="B4">
        <v>91</v>
      </c>
      <c r="C4" t="s">
        <v>9</v>
      </c>
      <c r="D4">
        <v>65000</v>
      </c>
      <c r="F4" t="str">
        <f t="shared" ref="F4:F6" si="0">IF(B4&gt;35,"Pass","Fail")</f>
        <v>Pass</v>
      </c>
      <c r="G4" t="str">
        <f t="shared" ref="G4:G6" si="1">IF(B4&gt;=90,"A",IF(B4&gt;=75,"B",IF(B4&gt;=50,"C","Fail")))</f>
        <v>A</v>
      </c>
      <c r="I4">
        <f>SUMIF(C2:C6,"Finance",D2:D6)</f>
        <v>38000</v>
      </c>
    </row>
    <row r="5" spans="1:9" x14ac:dyDescent="0.3">
      <c r="A5" t="s">
        <v>13</v>
      </c>
      <c r="B5">
        <v>45</v>
      </c>
      <c r="C5" t="s">
        <v>14</v>
      </c>
      <c r="D5">
        <v>38000</v>
      </c>
      <c r="F5" t="str">
        <f t="shared" si="0"/>
        <v>Pass</v>
      </c>
      <c r="G5" t="str">
        <f t="shared" si="1"/>
        <v>Fail</v>
      </c>
    </row>
    <row r="6" spans="1:9" x14ac:dyDescent="0.3">
      <c r="A6" t="s">
        <v>15</v>
      </c>
      <c r="B6">
        <v>30</v>
      </c>
      <c r="C6" t="s">
        <v>9</v>
      </c>
      <c r="D6">
        <v>30000</v>
      </c>
      <c r="F6" t="str">
        <f t="shared" si="0"/>
        <v>Fail</v>
      </c>
      <c r="G6" t="str">
        <f t="shared" si="1"/>
        <v>Fail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s="1" t="s">
        <v>16</v>
      </c>
      <c r="B1" s="1" t="s">
        <v>17</v>
      </c>
    </row>
    <row r="2" spans="1:2" x14ac:dyDescent="0.3">
      <c r="A2" s="1" t="s">
        <v>18</v>
      </c>
      <c r="B2" s="1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  <row r="5" spans="1:2" x14ac:dyDescent="0.3">
      <c r="A5" t="s">
        <v>24</v>
      </c>
      <c r="B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16</v>
      </c>
      <c r="B1" s="1" t="s">
        <v>26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Day2</vt:lpstr>
      <vt:lpstr>SQL Day2</vt:lpstr>
      <vt:lpstr>Python Day2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2026-05-06T09:37:53Z</dcterms:created>
  <dcterms:modified xsi:type="dcterms:W3CDTF">2026-05-06T10:33:28Z</dcterms:modified>
</cp:coreProperties>
</file>