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D:\DataAnalytics\learning\Excel\"/>
    </mc:Choice>
  </mc:AlternateContent>
  <xr:revisionPtr revIDLastSave="0" documentId="13_ncr:1_{A65D7479-B143-428B-8947-6DAB756550A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EmployeeData" sheetId="1" r:id="rId1"/>
    <sheet name="KPI Dashboard" sheetId="3" r:id="rId2"/>
    <sheet name="Pivot table" sheetId="6" r:id="rId3"/>
    <sheet name="PracticeTasks" sheetId="2" r:id="rId4"/>
  </sheets>
  <calcPr calcId="191029"/>
  <pivotCaches>
    <pivotCache cacheId="20" r:id="rId5"/>
  </pivotCaches>
</workbook>
</file>

<file path=xl/calcChain.xml><?xml version="1.0" encoding="utf-8"?>
<calcChain xmlns="http://schemas.openxmlformats.org/spreadsheetml/2006/main">
  <c r="N4" i="3" l="1"/>
  <c r="J4" i="3"/>
  <c r="F4" i="3"/>
  <c r="B4" i="3"/>
</calcChain>
</file>

<file path=xl/sharedStrings.xml><?xml version="1.0" encoding="utf-8"?>
<sst xmlns="http://schemas.openxmlformats.org/spreadsheetml/2006/main" count="429" uniqueCount="139">
  <si>
    <t>EmployeeID</t>
  </si>
  <si>
    <t>Name</t>
  </si>
  <si>
    <t>Department</t>
  </si>
  <si>
    <t>City</t>
  </si>
  <si>
    <t>Salary</t>
  </si>
  <si>
    <t>Bonus</t>
  </si>
  <si>
    <t>PerformanceScore</t>
  </si>
  <si>
    <t>JoiningDate</t>
  </si>
  <si>
    <t>Rahul</t>
  </si>
  <si>
    <t>Sales</t>
  </si>
  <si>
    <t>Ahmedabad</t>
  </si>
  <si>
    <t>2024-05-20</t>
  </si>
  <si>
    <t>Anjali</t>
  </si>
  <si>
    <t>IT</t>
  </si>
  <si>
    <t>Bangalore</t>
  </si>
  <si>
    <t>2023-01-03</t>
  </si>
  <si>
    <t>John</t>
  </si>
  <si>
    <t>Marketing</t>
  </si>
  <si>
    <t>Delhi</t>
  </si>
  <si>
    <t>2024-01-17</t>
  </si>
  <si>
    <t>Amit</t>
  </si>
  <si>
    <t>HR</t>
  </si>
  <si>
    <t>2023-02-24</t>
  </si>
  <si>
    <t>Finance</t>
  </si>
  <si>
    <t>2024-03-24</t>
  </si>
  <si>
    <t>Vikas</t>
  </si>
  <si>
    <t>2023-07-18</t>
  </si>
  <si>
    <t>Priya</t>
  </si>
  <si>
    <t>2024-01-04</t>
  </si>
  <si>
    <t>2023-02-27</t>
  </si>
  <si>
    <t>2024-08-02</t>
  </si>
  <si>
    <t>Sara</t>
  </si>
  <si>
    <t>Pune</t>
  </si>
  <si>
    <t>2023-09-26</t>
  </si>
  <si>
    <t>2024-03-13</t>
  </si>
  <si>
    <t>Riya</t>
  </si>
  <si>
    <t>Mumbai</t>
  </si>
  <si>
    <t>2023-10-15</t>
  </si>
  <si>
    <t>2023-03-03</t>
  </si>
  <si>
    <t>2023-08-31</t>
  </si>
  <si>
    <t>2023-06-13</t>
  </si>
  <si>
    <t>2024-03-20</t>
  </si>
  <si>
    <t>2023-05-28</t>
  </si>
  <si>
    <t>2023-10-03</t>
  </si>
  <si>
    <t>Karan</t>
  </si>
  <si>
    <t>2024-04-27</t>
  </si>
  <si>
    <t>2024-08-21</t>
  </si>
  <si>
    <t>2023-12-20</t>
  </si>
  <si>
    <t>2023-11-21</t>
  </si>
  <si>
    <t>Neha</t>
  </si>
  <si>
    <t>2024-11-18</t>
  </si>
  <si>
    <t>2023-10-04</t>
  </si>
  <si>
    <t>2023-12-02</t>
  </si>
  <si>
    <t>2024-07-16</t>
  </si>
  <si>
    <t>2023-10-30</t>
  </si>
  <si>
    <t>2024-03-05</t>
  </si>
  <si>
    <t>2024-08-27</t>
  </si>
  <si>
    <t>2024-09-11</t>
  </si>
  <si>
    <t>2023-03-09</t>
  </si>
  <si>
    <t>2024-02-13</t>
  </si>
  <si>
    <t>2023-07-04</t>
  </si>
  <si>
    <t>2024-07-18</t>
  </si>
  <si>
    <t>2023-03-04</t>
  </si>
  <si>
    <t>2024-07-09</t>
  </si>
  <si>
    <t>2024-02-22</t>
  </si>
  <si>
    <t>2024-06-11</t>
  </si>
  <si>
    <t>2024-04-14</t>
  </si>
  <si>
    <t>2024-11-25</t>
  </si>
  <si>
    <t>2024-12-01</t>
  </si>
  <si>
    <t>2024-09-27</t>
  </si>
  <si>
    <t>2023-06-11</t>
  </si>
  <si>
    <t>2024-04-08</t>
  </si>
  <si>
    <t>2023-10-08</t>
  </si>
  <si>
    <t>2023-12-26</t>
  </si>
  <si>
    <t>2024-10-28</t>
  </si>
  <si>
    <t>2024-05-29</t>
  </si>
  <si>
    <t>2023-08-02</t>
  </si>
  <si>
    <t>2024-04-18</t>
  </si>
  <si>
    <t>2024-07-20</t>
  </si>
  <si>
    <t>2024-11-11</t>
  </si>
  <si>
    <t>2024-11-17</t>
  </si>
  <si>
    <t>2024-05-18</t>
  </si>
  <si>
    <t>2023-11-04</t>
  </si>
  <si>
    <t>2024-07-03</t>
  </si>
  <si>
    <t>2024-07-14</t>
  </si>
  <si>
    <t>2024-07-01</t>
  </si>
  <si>
    <t>2024-07-02</t>
  </si>
  <si>
    <t>2023-07-12</t>
  </si>
  <si>
    <t>2023-10-17</t>
  </si>
  <si>
    <t>2023-06-18</t>
  </si>
  <si>
    <t>2024-05-05</t>
  </si>
  <si>
    <t>2024-01-26</t>
  </si>
  <si>
    <t>2024-06-07</t>
  </si>
  <si>
    <t>2023-05-06</t>
  </si>
  <si>
    <t>2024-10-26</t>
  </si>
  <si>
    <t>2024-01-20</t>
  </si>
  <si>
    <t>2024-09-05</t>
  </si>
  <si>
    <t>2024-07-24</t>
  </si>
  <si>
    <t>2023-03-02</t>
  </si>
  <si>
    <t>2024-05-25</t>
  </si>
  <si>
    <t>2023-11-16</t>
  </si>
  <si>
    <t>2023-06-21</t>
  </si>
  <si>
    <t>2023-01-16</t>
  </si>
  <si>
    <t>2024-03-09</t>
  </si>
  <si>
    <t>2024-11-02</t>
  </si>
  <si>
    <t>2024-08-15</t>
  </si>
  <si>
    <t>2024-02-21</t>
  </si>
  <si>
    <t>2023-09-30</t>
  </si>
  <si>
    <t>2024-08-19</t>
  </si>
  <si>
    <t>2023-10-01</t>
  </si>
  <si>
    <t>2024-05-17</t>
  </si>
  <si>
    <t>2023-07-21</t>
  </si>
  <si>
    <t>2023-08-14</t>
  </si>
  <si>
    <t>2023-11-29</t>
  </si>
  <si>
    <t>2023-04-10</t>
  </si>
  <si>
    <t>2023-07-10</t>
  </si>
  <si>
    <t>2023-09-28</t>
  </si>
  <si>
    <t>2024-06-05</t>
  </si>
  <si>
    <t>2024-03-11</t>
  </si>
  <si>
    <t>2024-11-30</t>
  </si>
  <si>
    <t>2024-07-15</t>
  </si>
  <si>
    <t>2024-06-17</t>
  </si>
  <si>
    <t>2024-03-17</t>
  </si>
  <si>
    <t>Day 13 - KPI Sheets Practice</t>
  </si>
  <si>
    <t>1. Create KPI sheet</t>
  </si>
  <si>
    <t>2. Create Total Salary KPI</t>
  </si>
  <si>
    <t>3. Create Average Salary KPI</t>
  </si>
  <si>
    <t>4. Create Highest Salary KPI</t>
  </si>
  <si>
    <t>5. Create Employee Count KPI</t>
  </si>
  <si>
    <t>6. Create Department-wise KPI analysis</t>
  </si>
  <si>
    <t>7. Create charts for department performance</t>
  </si>
  <si>
    <t>Total Salary</t>
  </si>
  <si>
    <t>Average Salary</t>
  </si>
  <si>
    <t>Highest Salary</t>
  </si>
  <si>
    <t>Employee Count</t>
  </si>
  <si>
    <t>Employee KPI Dashboard</t>
  </si>
  <si>
    <t>Row Labels</t>
  </si>
  <si>
    <t>Grand Total</t>
  </si>
  <si>
    <t>Sum of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</si>
</sst>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&quot;₹&quot;\ #,##0.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0" fillId="2" borderId="0" xfId="0" applyFill="1"/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169" fontId="3" fillId="3" borderId="4" xfId="0" applyNumberFormat="1" applyFont="1" applyFill="1" applyBorder="1" applyAlignment="1">
      <alignment horizontal="center" vertical="center"/>
    </xf>
    <xf numFmtId="169" fontId="3" fillId="3" borderId="0" xfId="0" applyNumberFormat="1" applyFont="1" applyFill="1" applyBorder="1" applyAlignment="1">
      <alignment horizontal="center" vertical="center"/>
    </xf>
    <xf numFmtId="169" fontId="3" fillId="3" borderId="5" xfId="0" applyNumberFormat="1" applyFont="1" applyFill="1" applyBorder="1" applyAlignment="1">
      <alignment horizontal="center" vertical="center"/>
    </xf>
    <xf numFmtId="169" fontId="3" fillId="3" borderId="6" xfId="0" applyNumberFormat="1" applyFont="1" applyFill="1" applyBorder="1" applyAlignment="1">
      <alignment horizontal="center" vertical="center"/>
    </xf>
    <xf numFmtId="169" fontId="3" fillId="3" borderId="7" xfId="0" applyNumberFormat="1" applyFont="1" applyFill="1" applyBorder="1" applyAlignment="1">
      <alignment horizontal="center" vertical="center"/>
    </xf>
    <xf numFmtId="169" fontId="3" fillId="3" borderId="8" xfId="0" applyNumberFormat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69" fontId="0" fillId="0" borderId="0" xfId="0" applyNumberForma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[day13_KPI_Sheets.xlsx]Pivot table!PivotTable6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Department-wise Salary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table'!$A$2:$A$7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'Pivot table'!$B$2:$B$7</c:f>
              <c:numCache>
                <c:formatCode>"₹"\ #,##0.00</c:formatCode>
                <c:ptCount val="5"/>
                <c:pt idx="0">
                  <c:v>2054877</c:v>
                </c:pt>
                <c:pt idx="1">
                  <c:v>1011295</c:v>
                </c:pt>
                <c:pt idx="2">
                  <c:v>1490871</c:v>
                </c:pt>
                <c:pt idx="3">
                  <c:v>2032211</c:v>
                </c:pt>
                <c:pt idx="4">
                  <c:v>1152663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8F-42B8-AECF-D36F7B0E4BA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18965183"/>
        <c:axId val="1718964703"/>
      </c:barChart>
      <c:catAx>
        <c:axId val="1718965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8964703"/>
        <c:crosses val="autoZero"/>
        <c:auto val="1"/>
        <c:lblAlgn val="ctr"/>
        <c:lblOffset val="100"/>
        <c:noMultiLvlLbl val="0"/>
      </c:catAx>
      <c:valAx>
        <c:axId val="171896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8965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198120</xdr:colOff>
      <xdr:row>9</xdr:row>
      <xdr:rowOff>3810</xdr:rowOff>
    </xdr:from>
    <xdr:to>
      <xdr:col>11</xdr:col>
      <xdr:colOff>563880</xdr:colOff>
      <xdr:row>24</xdr:row>
      <xdr:rowOff>3810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93DE842-1655-6016-CFFD-081BA97593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VAL KRUNAL" refreshedDate="46154.620494560186" createdVersion="8" refreshedVersion="8" minRefreshableVersion="3" recordCount="100" xr:uid="{F39D368B-1A94-4FE0-BB8A-B350B61D9F02}">
  <cacheSource type="worksheet">
    <worksheetSource name="Table1"/>
  </cacheSource>
  <cacheFields count="8">
    <cacheField name="EmployeeID" numFmtId="0">
      <sharedItems containsSemiMixedTypes="0" containsString="0" containsNumber="1" containsInteger="1" minValue="1002" maxValue="1101"/>
    </cacheField>
    <cacheField name="Name" numFmtId="0">
      <sharedItems/>
    </cacheField>
    <cacheField name="Department" numFmtId="0">
      <sharedItems count="5">
        <s v="Sales"/>
        <s v="IT"/>
        <s v="Marketing"/>
        <s v="HR"/>
        <s v="Finance"/>
      </sharedItems>
    </cacheField>
    <cacheField name="City" numFmtId="0">
      <sharedItems count="5">
        <s v="Ahmedabad"/>
        <s v="Bangalore"/>
        <s v="Delhi"/>
        <s v="Pune"/>
        <s v="Mumbai"/>
      </sharedItems>
    </cacheField>
    <cacheField name="Salary" numFmtId="0">
      <sharedItems containsSemiMixedTypes="0" containsString="0" containsNumber="1" containsInteger="1" minValue="31107" maxValue="119986"/>
    </cacheField>
    <cacheField name="Bonus" numFmtId="0">
      <sharedItems containsSemiMixedTypes="0" containsString="0" containsNumber="1" containsInteger="1" minValue="2055" maxValue="24885"/>
    </cacheField>
    <cacheField name="PerformanceScore" numFmtId="0">
      <sharedItems containsSemiMixedTypes="0" containsString="0" containsNumber="1" containsInteger="1" minValue="50" maxValue="100"/>
    </cacheField>
    <cacheField name="JoiningDat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1002"/>
    <s v="Rahul"/>
    <x v="0"/>
    <x v="0"/>
    <n v="31928"/>
    <n v="20628"/>
    <n v="89"/>
    <s v="2024-05-20"/>
  </r>
  <r>
    <n v="1003"/>
    <s v="Anjali"/>
    <x v="1"/>
    <x v="1"/>
    <n v="114055"/>
    <n v="24196"/>
    <n v="67"/>
    <s v="2023-01-03"/>
  </r>
  <r>
    <n v="1004"/>
    <s v="John"/>
    <x v="2"/>
    <x v="2"/>
    <n v="52584"/>
    <n v="16649"/>
    <n v="81"/>
    <s v="2024-01-17"/>
  </r>
  <r>
    <n v="1005"/>
    <s v="Amit"/>
    <x v="3"/>
    <x v="2"/>
    <n v="44971"/>
    <n v="16577"/>
    <n v="50"/>
    <s v="2023-02-24"/>
  </r>
  <r>
    <n v="1006"/>
    <s v="Amit"/>
    <x v="4"/>
    <x v="0"/>
    <n v="84745"/>
    <n v="19778"/>
    <n v="66"/>
    <s v="2024-03-24"/>
  </r>
  <r>
    <n v="1007"/>
    <s v="Vikas"/>
    <x v="1"/>
    <x v="2"/>
    <n v="43676"/>
    <n v="16093"/>
    <n v="77"/>
    <s v="2023-07-18"/>
  </r>
  <r>
    <n v="1008"/>
    <s v="Priya"/>
    <x v="2"/>
    <x v="2"/>
    <n v="118533"/>
    <n v="5643"/>
    <n v="55"/>
    <s v="2024-01-04"/>
  </r>
  <r>
    <n v="1009"/>
    <s v="Anjali"/>
    <x v="2"/>
    <x v="1"/>
    <n v="47942"/>
    <n v="11633"/>
    <n v="96"/>
    <s v="2023-02-27"/>
  </r>
  <r>
    <n v="1010"/>
    <s v="Rahul"/>
    <x v="1"/>
    <x v="0"/>
    <n v="76573"/>
    <n v="3776"/>
    <n v="99"/>
    <s v="2024-08-02"/>
  </r>
  <r>
    <n v="1011"/>
    <s v="Sara"/>
    <x v="4"/>
    <x v="3"/>
    <n v="31107"/>
    <n v="24885"/>
    <n v="70"/>
    <s v="2023-09-26"/>
  </r>
  <r>
    <n v="1012"/>
    <s v="Amit"/>
    <x v="4"/>
    <x v="3"/>
    <n v="41185"/>
    <n v="6118"/>
    <n v="54"/>
    <s v="2024-03-13"/>
  </r>
  <r>
    <n v="1013"/>
    <s v="Riya"/>
    <x v="1"/>
    <x v="4"/>
    <n v="54611"/>
    <n v="7867"/>
    <n v="60"/>
    <s v="2023-10-15"/>
  </r>
  <r>
    <n v="1014"/>
    <s v="John"/>
    <x v="3"/>
    <x v="2"/>
    <n v="38542"/>
    <n v="24751"/>
    <n v="75"/>
    <s v="2023-03-03"/>
  </r>
  <r>
    <n v="1015"/>
    <s v="Amit"/>
    <x v="4"/>
    <x v="1"/>
    <n v="88439"/>
    <n v="10371"/>
    <n v="64"/>
    <s v="2023-08-31"/>
  </r>
  <r>
    <n v="1016"/>
    <s v="John"/>
    <x v="1"/>
    <x v="3"/>
    <n v="95534"/>
    <n v="6945"/>
    <n v="57"/>
    <s v="2023-06-13"/>
  </r>
  <r>
    <n v="1017"/>
    <s v="Rahul"/>
    <x v="1"/>
    <x v="0"/>
    <n v="60692"/>
    <n v="12344"/>
    <n v="85"/>
    <s v="2024-03-20"/>
  </r>
  <r>
    <n v="1018"/>
    <s v="Vikas"/>
    <x v="3"/>
    <x v="1"/>
    <n v="42910"/>
    <n v="7660"/>
    <n v="58"/>
    <s v="2023-05-28"/>
  </r>
  <r>
    <n v="1019"/>
    <s v="Rahul"/>
    <x v="4"/>
    <x v="1"/>
    <n v="33064"/>
    <n v="21886"/>
    <n v="92"/>
    <s v="2023-10-03"/>
  </r>
  <r>
    <n v="1020"/>
    <s v="Karan"/>
    <x v="4"/>
    <x v="1"/>
    <n v="47337"/>
    <n v="11342"/>
    <n v="86"/>
    <s v="2024-04-27"/>
  </r>
  <r>
    <n v="1021"/>
    <s v="Rahul"/>
    <x v="4"/>
    <x v="2"/>
    <n v="71444"/>
    <n v="18888"/>
    <n v="95"/>
    <s v="2024-08-21"/>
  </r>
  <r>
    <n v="1022"/>
    <s v="Rahul"/>
    <x v="4"/>
    <x v="0"/>
    <n v="113471"/>
    <n v="4467"/>
    <n v="66"/>
    <s v="2023-12-20"/>
  </r>
  <r>
    <n v="1023"/>
    <s v="Priya"/>
    <x v="3"/>
    <x v="1"/>
    <n v="59355"/>
    <n v="13089"/>
    <n v="89"/>
    <s v="2023-11-21"/>
  </r>
  <r>
    <n v="1024"/>
    <s v="Neha"/>
    <x v="3"/>
    <x v="0"/>
    <n v="55471"/>
    <n v="7701"/>
    <n v="77"/>
    <s v="2024-11-18"/>
  </r>
  <r>
    <n v="1025"/>
    <s v="Karan"/>
    <x v="2"/>
    <x v="2"/>
    <n v="117157"/>
    <n v="22663"/>
    <n v="68"/>
    <s v="2023-10-04"/>
  </r>
  <r>
    <n v="1026"/>
    <s v="Neha"/>
    <x v="3"/>
    <x v="2"/>
    <n v="50597"/>
    <n v="24871"/>
    <n v="54"/>
    <s v="2023-12-02"/>
  </r>
  <r>
    <n v="1027"/>
    <s v="Rahul"/>
    <x v="1"/>
    <x v="3"/>
    <n v="119845"/>
    <n v="2055"/>
    <n v="73"/>
    <s v="2024-07-16"/>
  </r>
  <r>
    <n v="1028"/>
    <s v="Sara"/>
    <x v="2"/>
    <x v="3"/>
    <n v="38095"/>
    <n v="15875"/>
    <n v="61"/>
    <s v="2023-05-28"/>
  </r>
  <r>
    <n v="1029"/>
    <s v="Rahul"/>
    <x v="4"/>
    <x v="4"/>
    <n v="42639"/>
    <n v="13607"/>
    <n v="80"/>
    <s v="2023-10-30"/>
  </r>
  <r>
    <n v="1030"/>
    <s v="Sara"/>
    <x v="2"/>
    <x v="4"/>
    <n v="43325"/>
    <n v="6733"/>
    <n v="90"/>
    <s v="2024-03-05"/>
  </r>
  <r>
    <n v="1031"/>
    <s v="Anjali"/>
    <x v="0"/>
    <x v="4"/>
    <n v="111608"/>
    <n v="21656"/>
    <n v="62"/>
    <s v="2024-08-27"/>
  </r>
  <r>
    <n v="1032"/>
    <s v="Rahul"/>
    <x v="4"/>
    <x v="0"/>
    <n v="40171"/>
    <n v="24697"/>
    <n v="100"/>
    <s v="2024-09-11"/>
  </r>
  <r>
    <n v="1033"/>
    <s v="Neha"/>
    <x v="4"/>
    <x v="1"/>
    <n v="109186"/>
    <n v="20398"/>
    <n v="58"/>
    <s v="2023-03-09"/>
  </r>
  <r>
    <n v="1034"/>
    <s v="Karan"/>
    <x v="3"/>
    <x v="2"/>
    <n v="112321"/>
    <n v="16939"/>
    <n v="64"/>
    <s v="2024-02-13"/>
  </r>
  <r>
    <n v="1035"/>
    <s v="Sara"/>
    <x v="4"/>
    <x v="0"/>
    <n v="50008"/>
    <n v="20667"/>
    <n v="57"/>
    <s v="2024-03-20"/>
  </r>
  <r>
    <n v="1036"/>
    <s v="Amit"/>
    <x v="3"/>
    <x v="3"/>
    <n v="36310"/>
    <n v="15866"/>
    <n v="78"/>
    <s v="2023-07-04"/>
  </r>
  <r>
    <n v="1037"/>
    <s v="Amit"/>
    <x v="2"/>
    <x v="4"/>
    <n v="56248"/>
    <n v="14109"/>
    <n v="83"/>
    <s v="2024-07-18"/>
  </r>
  <r>
    <n v="1038"/>
    <s v="Amit"/>
    <x v="0"/>
    <x v="0"/>
    <n v="110413"/>
    <n v="21948"/>
    <n v="68"/>
    <s v="2023-03-04"/>
  </r>
  <r>
    <n v="1039"/>
    <s v="Neha"/>
    <x v="1"/>
    <x v="1"/>
    <n v="118292"/>
    <n v="20440"/>
    <n v="91"/>
    <s v="2024-07-09"/>
  </r>
  <r>
    <n v="1040"/>
    <s v="Riya"/>
    <x v="3"/>
    <x v="0"/>
    <n v="37692"/>
    <n v="21368"/>
    <n v="60"/>
    <s v="2024-02-22"/>
  </r>
  <r>
    <n v="1041"/>
    <s v="Sara"/>
    <x v="0"/>
    <x v="2"/>
    <n v="89020"/>
    <n v="2766"/>
    <n v="66"/>
    <s v="2024-06-11"/>
  </r>
  <r>
    <n v="1042"/>
    <s v="Vikas"/>
    <x v="4"/>
    <x v="1"/>
    <n v="93265"/>
    <n v="15097"/>
    <n v="79"/>
    <s v="2024-04-14"/>
  </r>
  <r>
    <n v="1043"/>
    <s v="Sara"/>
    <x v="1"/>
    <x v="1"/>
    <n v="46792"/>
    <n v="17871"/>
    <n v="65"/>
    <s v="2024-11-25"/>
  </r>
  <r>
    <n v="1044"/>
    <s v="Riya"/>
    <x v="2"/>
    <x v="4"/>
    <n v="53295"/>
    <n v="14697"/>
    <n v="66"/>
    <s v="2024-12-01"/>
  </r>
  <r>
    <n v="1045"/>
    <s v="Anjali"/>
    <x v="1"/>
    <x v="2"/>
    <n v="90044"/>
    <n v="13182"/>
    <n v="94"/>
    <s v="2024-09-27"/>
  </r>
  <r>
    <n v="1046"/>
    <s v="Priya"/>
    <x v="0"/>
    <x v="0"/>
    <n v="114509"/>
    <n v="20989"/>
    <n v="61"/>
    <s v="2023-06-11"/>
  </r>
  <r>
    <n v="1047"/>
    <s v="John"/>
    <x v="1"/>
    <x v="0"/>
    <n v="41639"/>
    <n v="16168"/>
    <n v="65"/>
    <s v="2024-04-08"/>
  </r>
  <r>
    <n v="1048"/>
    <s v="Vikas"/>
    <x v="0"/>
    <x v="1"/>
    <n v="57656"/>
    <n v="2765"/>
    <n v="71"/>
    <s v="2023-10-08"/>
  </r>
  <r>
    <n v="1049"/>
    <s v="Neha"/>
    <x v="2"/>
    <x v="1"/>
    <n v="91628"/>
    <n v="2774"/>
    <n v="79"/>
    <s v="2023-12-26"/>
  </r>
  <r>
    <n v="1050"/>
    <s v="Riya"/>
    <x v="2"/>
    <x v="0"/>
    <n v="37531"/>
    <n v="6869"/>
    <n v="50"/>
    <s v="2024-10-28"/>
  </r>
  <r>
    <n v="1051"/>
    <s v="Anjali"/>
    <x v="2"/>
    <x v="4"/>
    <n v="84633"/>
    <n v="23220"/>
    <n v="64"/>
    <s v="2024-05-29"/>
  </r>
  <r>
    <n v="1052"/>
    <s v="Priya"/>
    <x v="2"/>
    <x v="3"/>
    <n v="85934"/>
    <n v="13801"/>
    <n v="55"/>
    <s v="2023-08-02"/>
  </r>
  <r>
    <n v="1053"/>
    <s v="Vikas"/>
    <x v="4"/>
    <x v="1"/>
    <n v="118005"/>
    <n v="17161"/>
    <n v="84"/>
    <s v="2024-04-18"/>
  </r>
  <r>
    <n v="1054"/>
    <s v="Riya"/>
    <x v="1"/>
    <x v="3"/>
    <n v="79587"/>
    <n v="17983"/>
    <n v="63"/>
    <s v="2024-07-20"/>
  </r>
  <r>
    <n v="1055"/>
    <s v="Vikas"/>
    <x v="4"/>
    <x v="2"/>
    <n v="111450"/>
    <n v="14877"/>
    <n v="100"/>
    <s v="2024-11-11"/>
  </r>
  <r>
    <n v="1056"/>
    <s v="John"/>
    <x v="2"/>
    <x v="2"/>
    <n v="42200"/>
    <n v="11435"/>
    <n v="97"/>
    <s v="2024-11-17"/>
  </r>
  <r>
    <n v="1057"/>
    <s v="Amit"/>
    <x v="1"/>
    <x v="3"/>
    <n v="72380"/>
    <n v="19460"/>
    <n v="71"/>
    <s v="2024-05-18"/>
  </r>
  <r>
    <n v="1058"/>
    <s v="Anjali"/>
    <x v="2"/>
    <x v="0"/>
    <n v="76288"/>
    <n v="23318"/>
    <n v="85"/>
    <s v="2023-11-04"/>
  </r>
  <r>
    <n v="1059"/>
    <s v="John"/>
    <x v="4"/>
    <x v="3"/>
    <n v="40195"/>
    <n v="6287"/>
    <n v="62"/>
    <s v="2023-07-18"/>
  </r>
  <r>
    <n v="1060"/>
    <s v="Riya"/>
    <x v="2"/>
    <x v="3"/>
    <n v="67177"/>
    <n v="11839"/>
    <n v="99"/>
    <s v="2024-07-03"/>
  </r>
  <r>
    <n v="1061"/>
    <s v="Sara"/>
    <x v="4"/>
    <x v="4"/>
    <n v="113184"/>
    <n v="11929"/>
    <n v="59"/>
    <s v="2024-07-14"/>
  </r>
  <r>
    <n v="1062"/>
    <s v="Riya"/>
    <x v="3"/>
    <x v="1"/>
    <n v="117722"/>
    <n v="8264"/>
    <n v="88"/>
    <s v="2024-07-01"/>
  </r>
  <r>
    <n v="1063"/>
    <s v="Vikas"/>
    <x v="2"/>
    <x v="0"/>
    <n v="90776"/>
    <n v="21476"/>
    <n v="85"/>
    <s v="2024-08-21"/>
  </r>
  <r>
    <n v="1064"/>
    <s v="Sara"/>
    <x v="1"/>
    <x v="4"/>
    <n v="118802"/>
    <n v="2685"/>
    <n v="85"/>
    <s v="2024-07-02"/>
  </r>
  <r>
    <n v="1065"/>
    <s v="Riya"/>
    <x v="2"/>
    <x v="4"/>
    <n v="115498"/>
    <n v="24568"/>
    <n v="74"/>
    <s v="2023-07-12"/>
  </r>
  <r>
    <n v="1066"/>
    <s v="Priya"/>
    <x v="3"/>
    <x v="0"/>
    <n v="106787"/>
    <n v="16616"/>
    <n v="69"/>
    <s v="2023-10-17"/>
  </r>
  <r>
    <n v="1067"/>
    <s v="John"/>
    <x v="4"/>
    <x v="0"/>
    <n v="89532"/>
    <n v="18156"/>
    <n v="82"/>
    <s v="2023-06-18"/>
  </r>
  <r>
    <n v="1068"/>
    <s v="Rahul"/>
    <x v="4"/>
    <x v="2"/>
    <n v="110357"/>
    <n v="12809"/>
    <n v="80"/>
    <s v="2024-05-05"/>
  </r>
  <r>
    <n v="1069"/>
    <s v="Priya"/>
    <x v="1"/>
    <x v="3"/>
    <n v="58083"/>
    <n v="17468"/>
    <n v="84"/>
    <s v="2024-01-26"/>
  </r>
  <r>
    <n v="1070"/>
    <s v="Vikas"/>
    <x v="2"/>
    <x v="2"/>
    <n v="92977"/>
    <n v="14212"/>
    <n v="100"/>
    <s v="2024-06-07"/>
  </r>
  <r>
    <n v="1071"/>
    <s v="Sara"/>
    <x v="4"/>
    <x v="4"/>
    <n v="76605"/>
    <n v="3957"/>
    <n v="82"/>
    <s v="2023-05-06"/>
  </r>
  <r>
    <n v="1072"/>
    <s v="Vikas"/>
    <x v="2"/>
    <x v="3"/>
    <n v="78839"/>
    <n v="8877"/>
    <n v="84"/>
    <s v="2024-10-26"/>
  </r>
  <r>
    <n v="1073"/>
    <s v="Amit"/>
    <x v="2"/>
    <x v="4"/>
    <n v="106787"/>
    <n v="24784"/>
    <n v="85"/>
    <s v="2024-01-20"/>
  </r>
  <r>
    <n v="1074"/>
    <s v="Neha"/>
    <x v="0"/>
    <x v="0"/>
    <n v="90713"/>
    <n v="18716"/>
    <n v="66"/>
    <s v="2024-09-05"/>
  </r>
  <r>
    <n v="1075"/>
    <s v="Vikas"/>
    <x v="0"/>
    <x v="2"/>
    <n v="110715"/>
    <n v="21214"/>
    <n v="83"/>
    <s v="2024-07-24"/>
  </r>
  <r>
    <n v="1076"/>
    <s v="Karan"/>
    <x v="1"/>
    <x v="1"/>
    <n v="119678"/>
    <n v="4057"/>
    <n v="76"/>
    <s v="2023-03-02"/>
  </r>
  <r>
    <n v="1077"/>
    <s v="Karan"/>
    <x v="2"/>
    <x v="0"/>
    <n v="56857"/>
    <n v="17950"/>
    <n v="93"/>
    <s v="2024-05-25"/>
  </r>
  <r>
    <n v="1078"/>
    <s v="Vikas"/>
    <x v="4"/>
    <x v="2"/>
    <n v="94215"/>
    <n v="20389"/>
    <n v="98"/>
    <s v="2023-11-16"/>
  </r>
  <r>
    <n v="1079"/>
    <s v="Priya"/>
    <x v="0"/>
    <x v="4"/>
    <n v="119986"/>
    <n v="10600"/>
    <n v="95"/>
    <s v="2023-06-21"/>
  </r>
  <r>
    <n v="1080"/>
    <s v="Vikas"/>
    <x v="2"/>
    <x v="1"/>
    <n v="54988"/>
    <n v="16039"/>
    <n v="74"/>
    <s v="2023-01-16"/>
  </r>
  <r>
    <n v="1081"/>
    <s v="Priya"/>
    <x v="3"/>
    <x v="0"/>
    <n v="61708"/>
    <n v="24709"/>
    <n v="61"/>
    <s v="2024-03-09"/>
  </r>
  <r>
    <n v="1082"/>
    <s v="Priya"/>
    <x v="1"/>
    <x v="2"/>
    <n v="87925"/>
    <n v="19102"/>
    <n v="61"/>
    <s v="2024-11-02"/>
  </r>
  <r>
    <n v="1083"/>
    <s v="Riya"/>
    <x v="0"/>
    <x v="1"/>
    <n v="114648"/>
    <n v="18113"/>
    <n v="59"/>
    <s v="2024-08-15"/>
  </r>
  <r>
    <n v="1084"/>
    <s v="John"/>
    <x v="1"/>
    <x v="1"/>
    <n v="92663"/>
    <n v="22553"/>
    <n v="98"/>
    <s v="2024-02-21"/>
  </r>
  <r>
    <n v="1085"/>
    <s v="Vikas"/>
    <x v="4"/>
    <x v="2"/>
    <n v="44781"/>
    <n v="10784"/>
    <n v="94"/>
    <s v="2023-09-30"/>
  </r>
  <r>
    <n v="1086"/>
    <s v="Riya"/>
    <x v="0"/>
    <x v="2"/>
    <n v="71956"/>
    <n v="11456"/>
    <n v="71"/>
    <s v="2024-08-19"/>
  </r>
  <r>
    <n v="1087"/>
    <s v="Anjali"/>
    <x v="0"/>
    <x v="4"/>
    <n v="44638"/>
    <n v="11379"/>
    <n v="84"/>
    <s v="2023-10-01"/>
  </r>
  <r>
    <n v="1088"/>
    <s v="Sara"/>
    <x v="2"/>
    <x v="0"/>
    <n v="104703"/>
    <n v="24397"/>
    <n v="81"/>
    <s v="2024-05-17"/>
  </r>
  <r>
    <n v="1089"/>
    <s v="Sara"/>
    <x v="2"/>
    <x v="1"/>
    <n v="82596"/>
    <n v="20438"/>
    <n v="80"/>
    <s v="2023-07-21"/>
  </r>
  <r>
    <n v="1090"/>
    <s v="Vikas"/>
    <x v="2"/>
    <x v="3"/>
    <n v="84801"/>
    <n v="16894"/>
    <n v="99"/>
    <s v="2023-08-14"/>
  </r>
  <r>
    <n v="1091"/>
    <s v="Sara"/>
    <x v="3"/>
    <x v="4"/>
    <n v="85005"/>
    <n v="14921"/>
    <n v="83"/>
    <s v="2023-11-29"/>
  </r>
  <r>
    <n v="1092"/>
    <s v="Vikas"/>
    <x v="3"/>
    <x v="0"/>
    <n v="94614"/>
    <n v="7108"/>
    <n v="84"/>
    <s v="2023-04-10"/>
  </r>
  <r>
    <n v="1093"/>
    <s v="Neha"/>
    <x v="0"/>
    <x v="4"/>
    <n v="84873"/>
    <n v="12434"/>
    <n v="55"/>
    <s v="2023-07-10"/>
  </r>
  <r>
    <n v="1094"/>
    <s v="Priya"/>
    <x v="3"/>
    <x v="1"/>
    <n v="67290"/>
    <n v="10608"/>
    <n v="98"/>
    <s v="2023-09-28"/>
  </r>
  <r>
    <n v="1095"/>
    <s v="Sara"/>
    <x v="4"/>
    <x v="1"/>
    <n v="98369"/>
    <n v="7056"/>
    <n v="72"/>
    <s v="2024-06-05"/>
  </r>
  <r>
    <n v="1096"/>
    <s v="Anjali"/>
    <x v="2"/>
    <x v="0"/>
    <n v="108017"/>
    <n v="19861"/>
    <n v="60"/>
    <s v="2024-03-24"/>
  </r>
  <r>
    <n v="1097"/>
    <s v="Priya"/>
    <x v="2"/>
    <x v="1"/>
    <n v="42802"/>
    <n v="15881"/>
    <n v="57"/>
    <s v="2024-03-11"/>
  </r>
  <r>
    <n v="1098"/>
    <s v="Anjali"/>
    <x v="4"/>
    <x v="0"/>
    <n v="114066"/>
    <n v="17330"/>
    <n v="56"/>
    <s v="2024-11-30"/>
  </r>
  <r>
    <n v="1099"/>
    <s v="Amit"/>
    <x v="4"/>
    <x v="3"/>
    <n v="52772"/>
    <n v="23581"/>
    <n v="83"/>
    <s v="2024-07-15"/>
  </r>
  <r>
    <n v="1100"/>
    <s v="Neha"/>
    <x v="4"/>
    <x v="4"/>
    <n v="85408"/>
    <n v="21099"/>
    <n v="60"/>
    <s v="2024-06-17"/>
  </r>
  <r>
    <n v="1101"/>
    <s v="Amit"/>
    <x v="4"/>
    <x v="4"/>
    <n v="59877"/>
    <n v="4293"/>
    <n v="75"/>
    <s v="2024-03-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8CDB35-7F0C-4878-8826-2432423D2A60}" name="PivotTable6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:B7" firstHeaderRow="1" firstDataRow="1" firstDataCol="1"/>
  <pivotFields count="8">
    <pivotField showAll="0"/>
    <pivotField showAll="0"/>
    <pivotField axis="axisRow" showAll="0">
      <items count="6">
        <item x="4"/>
        <item x="3"/>
        <item x="1"/>
        <item x="2"/>
        <item x="0"/>
        <item t="default"/>
      </items>
    </pivotField>
    <pivotField showAll="0">
      <items count="6">
        <item x="0"/>
        <item x="1"/>
        <item x="2"/>
        <item x="4"/>
        <item x="3"/>
        <item t="default"/>
      </items>
    </pivotField>
    <pivotField dataField="1"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ary" fld="4" baseField="0" baseItem="0" numFmtId="169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7319F3-286C-4C0B-AC6A-FB94A43ABB5E}" name="Table1" displayName="Table1" ref="A1:H101" totalsRowShown="0" headerRowDxfId="0">
  <autoFilter ref="A1:H101" xr:uid="{7A7319F3-286C-4C0B-AC6A-FB94A43ABB5E}"/>
  <tableColumns count="8">
    <tableColumn id="1" xr3:uid="{3AA164E4-654C-40A8-96C5-E76FD7E433AC}" name="EmployeeID"/>
    <tableColumn id="2" xr3:uid="{8B147DBD-9054-42AA-A837-A7418F441230}" name="Name"/>
    <tableColumn id="3" xr3:uid="{1625FEA3-E23F-4F5B-811F-DCD617311EF2}" name="Department"/>
    <tableColumn id="4" xr3:uid="{3623D4BE-C87C-4735-A965-C36921C35528}" name="City"/>
    <tableColumn id="5" xr3:uid="{85CD8B7F-9133-4E7B-ABD3-AFB084594B40}" name="Salary"/>
    <tableColumn id="6" xr3:uid="{7E4A1443-718A-406F-BCE6-A3770A72D82C}" name="Bonus"/>
    <tableColumn id="7" xr3:uid="{ADC81931-3AA4-4F1C-92D5-B8CB8EAEE237}" name="PerformanceScore"/>
    <tableColumn id="8" xr3:uid="{DD2131ED-0A10-4B0C-BC79-F9E4EAC09375}" name="JoiningDa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opLeftCell="A2" workbookViewId="0">
      <selection activeCell="C16" sqref="C16"/>
    </sheetView>
  </sheetViews>
  <sheetFormatPr defaultRowHeight="14.4" x14ac:dyDescent="0.3"/>
  <cols>
    <col min="1" max="1" width="13" customWidth="1"/>
    <col min="3" max="3" width="13" customWidth="1"/>
    <col min="7" max="7" width="18.44140625" customWidth="1"/>
    <col min="8" max="8" width="12.66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1002</v>
      </c>
      <c r="B2" t="s">
        <v>8</v>
      </c>
      <c r="C2" t="s">
        <v>9</v>
      </c>
      <c r="D2" t="s">
        <v>10</v>
      </c>
      <c r="E2">
        <v>31928</v>
      </c>
      <c r="F2">
        <v>20628</v>
      </c>
      <c r="G2">
        <v>89</v>
      </c>
      <c r="H2" t="s">
        <v>11</v>
      </c>
    </row>
    <row r="3" spans="1:8" x14ac:dyDescent="0.3">
      <c r="A3">
        <v>1003</v>
      </c>
      <c r="B3" t="s">
        <v>12</v>
      </c>
      <c r="C3" t="s">
        <v>13</v>
      </c>
      <c r="D3" t="s">
        <v>14</v>
      </c>
      <c r="E3">
        <v>114055</v>
      </c>
      <c r="F3">
        <v>24196</v>
      </c>
      <c r="G3">
        <v>67</v>
      </c>
      <c r="H3" t="s">
        <v>15</v>
      </c>
    </row>
    <row r="4" spans="1:8" x14ac:dyDescent="0.3">
      <c r="A4">
        <v>1004</v>
      </c>
      <c r="B4" t="s">
        <v>16</v>
      </c>
      <c r="C4" t="s">
        <v>17</v>
      </c>
      <c r="D4" t="s">
        <v>18</v>
      </c>
      <c r="E4">
        <v>52584</v>
      </c>
      <c r="F4">
        <v>16649</v>
      </c>
      <c r="G4">
        <v>81</v>
      </c>
      <c r="H4" t="s">
        <v>19</v>
      </c>
    </row>
    <row r="5" spans="1:8" x14ac:dyDescent="0.3">
      <c r="A5">
        <v>1005</v>
      </c>
      <c r="B5" t="s">
        <v>20</v>
      </c>
      <c r="C5" t="s">
        <v>21</v>
      </c>
      <c r="D5" t="s">
        <v>18</v>
      </c>
      <c r="E5">
        <v>44971</v>
      </c>
      <c r="F5">
        <v>16577</v>
      </c>
      <c r="G5">
        <v>50</v>
      </c>
      <c r="H5" t="s">
        <v>22</v>
      </c>
    </row>
    <row r="6" spans="1:8" x14ac:dyDescent="0.3">
      <c r="A6">
        <v>1006</v>
      </c>
      <c r="B6" t="s">
        <v>20</v>
      </c>
      <c r="C6" t="s">
        <v>23</v>
      </c>
      <c r="D6" t="s">
        <v>10</v>
      </c>
      <c r="E6">
        <v>84745</v>
      </c>
      <c r="F6">
        <v>19778</v>
      </c>
      <c r="G6">
        <v>66</v>
      </c>
      <c r="H6" t="s">
        <v>24</v>
      </c>
    </row>
    <row r="7" spans="1:8" x14ac:dyDescent="0.3">
      <c r="A7">
        <v>1007</v>
      </c>
      <c r="B7" t="s">
        <v>25</v>
      </c>
      <c r="C7" t="s">
        <v>13</v>
      </c>
      <c r="D7" t="s">
        <v>18</v>
      </c>
      <c r="E7">
        <v>43676</v>
      </c>
      <c r="F7">
        <v>16093</v>
      </c>
      <c r="G7">
        <v>77</v>
      </c>
      <c r="H7" t="s">
        <v>26</v>
      </c>
    </row>
    <row r="8" spans="1:8" x14ac:dyDescent="0.3">
      <c r="A8">
        <v>1008</v>
      </c>
      <c r="B8" t="s">
        <v>27</v>
      </c>
      <c r="C8" t="s">
        <v>17</v>
      </c>
      <c r="D8" t="s">
        <v>18</v>
      </c>
      <c r="E8">
        <v>118533</v>
      </c>
      <c r="F8">
        <v>5643</v>
      </c>
      <c r="G8">
        <v>55</v>
      </c>
      <c r="H8" t="s">
        <v>28</v>
      </c>
    </row>
    <row r="9" spans="1:8" x14ac:dyDescent="0.3">
      <c r="A9">
        <v>1009</v>
      </c>
      <c r="B9" t="s">
        <v>12</v>
      </c>
      <c r="C9" t="s">
        <v>17</v>
      </c>
      <c r="D9" t="s">
        <v>14</v>
      </c>
      <c r="E9">
        <v>47942</v>
      </c>
      <c r="F9">
        <v>11633</v>
      </c>
      <c r="G9">
        <v>96</v>
      </c>
      <c r="H9" t="s">
        <v>29</v>
      </c>
    </row>
    <row r="10" spans="1:8" x14ac:dyDescent="0.3">
      <c r="A10">
        <v>1010</v>
      </c>
      <c r="B10" t="s">
        <v>8</v>
      </c>
      <c r="C10" t="s">
        <v>13</v>
      </c>
      <c r="D10" t="s">
        <v>10</v>
      </c>
      <c r="E10">
        <v>76573</v>
      </c>
      <c r="F10">
        <v>3776</v>
      </c>
      <c r="G10">
        <v>99</v>
      </c>
      <c r="H10" t="s">
        <v>30</v>
      </c>
    </row>
    <row r="11" spans="1:8" x14ac:dyDescent="0.3">
      <c r="A11">
        <v>1011</v>
      </c>
      <c r="B11" t="s">
        <v>31</v>
      </c>
      <c r="C11" t="s">
        <v>23</v>
      </c>
      <c r="D11" t="s">
        <v>32</v>
      </c>
      <c r="E11">
        <v>31107</v>
      </c>
      <c r="F11">
        <v>24885</v>
      </c>
      <c r="G11">
        <v>70</v>
      </c>
      <c r="H11" t="s">
        <v>33</v>
      </c>
    </row>
    <row r="12" spans="1:8" x14ac:dyDescent="0.3">
      <c r="A12">
        <v>1012</v>
      </c>
      <c r="B12" t="s">
        <v>20</v>
      </c>
      <c r="C12" t="s">
        <v>23</v>
      </c>
      <c r="D12" t="s">
        <v>32</v>
      </c>
      <c r="E12">
        <v>41185</v>
      </c>
      <c r="F12">
        <v>6118</v>
      </c>
      <c r="G12">
        <v>54</v>
      </c>
      <c r="H12" t="s">
        <v>34</v>
      </c>
    </row>
    <row r="13" spans="1:8" x14ac:dyDescent="0.3">
      <c r="A13">
        <v>1013</v>
      </c>
      <c r="B13" t="s">
        <v>35</v>
      </c>
      <c r="C13" t="s">
        <v>13</v>
      </c>
      <c r="D13" t="s">
        <v>36</v>
      </c>
      <c r="E13">
        <v>54611</v>
      </c>
      <c r="F13">
        <v>7867</v>
      </c>
      <c r="G13">
        <v>60</v>
      </c>
      <c r="H13" t="s">
        <v>37</v>
      </c>
    </row>
    <row r="14" spans="1:8" x14ac:dyDescent="0.3">
      <c r="A14">
        <v>1014</v>
      </c>
      <c r="B14" t="s">
        <v>16</v>
      </c>
      <c r="C14" t="s">
        <v>21</v>
      </c>
      <c r="D14" t="s">
        <v>18</v>
      </c>
      <c r="E14">
        <v>38542</v>
      </c>
      <c r="F14">
        <v>24751</v>
      </c>
      <c r="G14">
        <v>75</v>
      </c>
      <c r="H14" t="s">
        <v>38</v>
      </c>
    </row>
    <row r="15" spans="1:8" x14ac:dyDescent="0.3">
      <c r="A15">
        <v>1015</v>
      </c>
      <c r="B15" t="s">
        <v>20</v>
      </c>
      <c r="C15" t="s">
        <v>23</v>
      </c>
      <c r="D15" t="s">
        <v>14</v>
      </c>
      <c r="E15">
        <v>88439</v>
      </c>
      <c r="F15">
        <v>10371</v>
      </c>
      <c r="G15">
        <v>64</v>
      </c>
      <c r="H15" t="s">
        <v>39</v>
      </c>
    </row>
    <row r="16" spans="1:8" x14ac:dyDescent="0.3">
      <c r="A16">
        <v>1016</v>
      </c>
      <c r="B16" t="s">
        <v>16</v>
      </c>
      <c r="C16" t="s">
        <v>13</v>
      </c>
      <c r="D16" t="s">
        <v>32</v>
      </c>
      <c r="E16">
        <v>95534</v>
      </c>
      <c r="F16">
        <v>6945</v>
      </c>
      <c r="G16">
        <v>57</v>
      </c>
      <c r="H16" t="s">
        <v>40</v>
      </c>
    </row>
    <row r="17" spans="1:8" x14ac:dyDescent="0.3">
      <c r="A17">
        <v>1017</v>
      </c>
      <c r="B17" t="s">
        <v>8</v>
      </c>
      <c r="C17" t="s">
        <v>13</v>
      </c>
      <c r="D17" t="s">
        <v>10</v>
      </c>
      <c r="E17">
        <v>60692</v>
      </c>
      <c r="F17">
        <v>12344</v>
      </c>
      <c r="G17">
        <v>85</v>
      </c>
      <c r="H17" t="s">
        <v>41</v>
      </c>
    </row>
    <row r="18" spans="1:8" x14ac:dyDescent="0.3">
      <c r="A18">
        <v>1018</v>
      </c>
      <c r="B18" t="s">
        <v>25</v>
      </c>
      <c r="C18" t="s">
        <v>21</v>
      </c>
      <c r="D18" t="s">
        <v>14</v>
      </c>
      <c r="E18">
        <v>42910</v>
      </c>
      <c r="F18">
        <v>7660</v>
      </c>
      <c r="G18">
        <v>58</v>
      </c>
      <c r="H18" t="s">
        <v>42</v>
      </c>
    </row>
    <row r="19" spans="1:8" x14ac:dyDescent="0.3">
      <c r="A19">
        <v>1019</v>
      </c>
      <c r="B19" t="s">
        <v>8</v>
      </c>
      <c r="C19" t="s">
        <v>23</v>
      </c>
      <c r="D19" t="s">
        <v>14</v>
      </c>
      <c r="E19">
        <v>33064</v>
      </c>
      <c r="F19">
        <v>21886</v>
      </c>
      <c r="G19">
        <v>92</v>
      </c>
      <c r="H19" t="s">
        <v>43</v>
      </c>
    </row>
    <row r="20" spans="1:8" x14ac:dyDescent="0.3">
      <c r="A20">
        <v>1020</v>
      </c>
      <c r="B20" t="s">
        <v>44</v>
      </c>
      <c r="C20" t="s">
        <v>23</v>
      </c>
      <c r="D20" t="s">
        <v>14</v>
      </c>
      <c r="E20">
        <v>47337</v>
      </c>
      <c r="F20">
        <v>11342</v>
      </c>
      <c r="G20">
        <v>86</v>
      </c>
      <c r="H20" t="s">
        <v>45</v>
      </c>
    </row>
    <row r="21" spans="1:8" x14ac:dyDescent="0.3">
      <c r="A21">
        <v>1021</v>
      </c>
      <c r="B21" t="s">
        <v>8</v>
      </c>
      <c r="C21" t="s">
        <v>23</v>
      </c>
      <c r="D21" t="s">
        <v>18</v>
      </c>
      <c r="E21">
        <v>71444</v>
      </c>
      <c r="F21">
        <v>18888</v>
      </c>
      <c r="G21">
        <v>95</v>
      </c>
      <c r="H21" t="s">
        <v>46</v>
      </c>
    </row>
    <row r="22" spans="1:8" x14ac:dyDescent="0.3">
      <c r="A22">
        <v>1022</v>
      </c>
      <c r="B22" t="s">
        <v>8</v>
      </c>
      <c r="C22" t="s">
        <v>23</v>
      </c>
      <c r="D22" t="s">
        <v>10</v>
      </c>
      <c r="E22">
        <v>113471</v>
      </c>
      <c r="F22">
        <v>4467</v>
      </c>
      <c r="G22">
        <v>66</v>
      </c>
      <c r="H22" t="s">
        <v>47</v>
      </c>
    </row>
    <row r="23" spans="1:8" x14ac:dyDescent="0.3">
      <c r="A23">
        <v>1023</v>
      </c>
      <c r="B23" t="s">
        <v>27</v>
      </c>
      <c r="C23" t="s">
        <v>21</v>
      </c>
      <c r="D23" t="s">
        <v>14</v>
      </c>
      <c r="E23">
        <v>59355</v>
      </c>
      <c r="F23">
        <v>13089</v>
      </c>
      <c r="G23">
        <v>89</v>
      </c>
      <c r="H23" t="s">
        <v>48</v>
      </c>
    </row>
    <row r="24" spans="1:8" x14ac:dyDescent="0.3">
      <c r="A24">
        <v>1024</v>
      </c>
      <c r="B24" t="s">
        <v>49</v>
      </c>
      <c r="C24" t="s">
        <v>21</v>
      </c>
      <c r="D24" t="s">
        <v>10</v>
      </c>
      <c r="E24">
        <v>55471</v>
      </c>
      <c r="F24">
        <v>7701</v>
      </c>
      <c r="G24">
        <v>77</v>
      </c>
      <c r="H24" t="s">
        <v>50</v>
      </c>
    </row>
    <row r="25" spans="1:8" x14ac:dyDescent="0.3">
      <c r="A25">
        <v>1025</v>
      </c>
      <c r="B25" t="s">
        <v>44</v>
      </c>
      <c r="C25" t="s">
        <v>17</v>
      </c>
      <c r="D25" t="s">
        <v>18</v>
      </c>
      <c r="E25">
        <v>117157</v>
      </c>
      <c r="F25">
        <v>22663</v>
      </c>
      <c r="G25">
        <v>68</v>
      </c>
      <c r="H25" t="s">
        <v>51</v>
      </c>
    </row>
    <row r="26" spans="1:8" x14ac:dyDescent="0.3">
      <c r="A26">
        <v>1026</v>
      </c>
      <c r="B26" t="s">
        <v>49</v>
      </c>
      <c r="C26" t="s">
        <v>21</v>
      </c>
      <c r="D26" t="s">
        <v>18</v>
      </c>
      <c r="E26">
        <v>50597</v>
      </c>
      <c r="F26">
        <v>24871</v>
      </c>
      <c r="G26">
        <v>54</v>
      </c>
      <c r="H26" t="s">
        <v>52</v>
      </c>
    </row>
    <row r="27" spans="1:8" x14ac:dyDescent="0.3">
      <c r="A27">
        <v>1027</v>
      </c>
      <c r="B27" t="s">
        <v>8</v>
      </c>
      <c r="C27" t="s">
        <v>13</v>
      </c>
      <c r="D27" t="s">
        <v>32</v>
      </c>
      <c r="E27">
        <v>119845</v>
      </c>
      <c r="F27">
        <v>2055</v>
      </c>
      <c r="G27">
        <v>73</v>
      </c>
      <c r="H27" t="s">
        <v>53</v>
      </c>
    </row>
    <row r="28" spans="1:8" x14ac:dyDescent="0.3">
      <c r="A28">
        <v>1028</v>
      </c>
      <c r="B28" t="s">
        <v>31</v>
      </c>
      <c r="C28" t="s">
        <v>17</v>
      </c>
      <c r="D28" t="s">
        <v>32</v>
      </c>
      <c r="E28">
        <v>38095</v>
      </c>
      <c r="F28">
        <v>15875</v>
      </c>
      <c r="G28">
        <v>61</v>
      </c>
      <c r="H28" t="s">
        <v>42</v>
      </c>
    </row>
    <row r="29" spans="1:8" x14ac:dyDescent="0.3">
      <c r="A29">
        <v>1029</v>
      </c>
      <c r="B29" t="s">
        <v>8</v>
      </c>
      <c r="C29" t="s">
        <v>23</v>
      </c>
      <c r="D29" t="s">
        <v>36</v>
      </c>
      <c r="E29">
        <v>42639</v>
      </c>
      <c r="F29">
        <v>13607</v>
      </c>
      <c r="G29">
        <v>80</v>
      </c>
      <c r="H29" t="s">
        <v>54</v>
      </c>
    </row>
    <row r="30" spans="1:8" x14ac:dyDescent="0.3">
      <c r="A30">
        <v>1030</v>
      </c>
      <c r="B30" t="s">
        <v>31</v>
      </c>
      <c r="C30" t="s">
        <v>17</v>
      </c>
      <c r="D30" t="s">
        <v>36</v>
      </c>
      <c r="E30">
        <v>43325</v>
      </c>
      <c r="F30">
        <v>6733</v>
      </c>
      <c r="G30">
        <v>90</v>
      </c>
      <c r="H30" t="s">
        <v>55</v>
      </c>
    </row>
    <row r="31" spans="1:8" x14ac:dyDescent="0.3">
      <c r="A31">
        <v>1031</v>
      </c>
      <c r="B31" t="s">
        <v>12</v>
      </c>
      <c r="C31" t="s">
        <v>9</v>
      </c>
      <c r="D31" t="s">
        <v>36</v>
      </c>
      <c r="E31">
        <v>111608</v>
      </c>
      <c r="F31">
        <v>21656</v>
      </c>
      <c r="G31">
        <v>62</v>
      </c>
      <c r="H31" t="s">
        <v>56</v>
      </c>
    </row>
    <row r="32" spans="1:8" x14ac:dyDescent="0.3">
      <c r="A32">
        <v>1032</v>
      </c>
      <c r="B32" t="s">
        <v>8</v>
      </c>
      <c r="C32" t="s">
        <v>23</v>
      </c>
      <c r="D32" t="s">
        <v>10</v>
      </c>
      <c r="E32">
        <v>40171</v>
      </c>
      <c r="F32">
        <v>24697</v>
      </c>
      <c r="G32">
        <v>100</v>
      </c>
      <c r="H32" t="s">
        <v>57</v>
      </c>
    </row>
    <row r="33" spans="1:8" x14ac:dyDescent="0.3">
      <c r="A33">
        <v>1033</v>
      </c>
      <c r="B33" t="s">
        <v>49</v>
      </c>
      <c r="C33" t="s">
        <v>23</v>
      </c>
      <c r="D33" t="s">
        <v>14</v>
      </c>
      <c r="E33">
        <v>109186</v>
      </c>
      <c r="F33">
        <v>20398</v>
      </c>
      <c r="G33">
        <v>58</v>
      </c>
      <c r="H33" t="s">
        <v>58</v>
      </c>
    </row>
    <row r="34" spans="1:8" x14ac:dyDescent="0.3">
      <c r="A34">
        <v>1034</v>
      </c>
      <c r="B34" t="s">
        <v>44</v>
      </c>
      <c r="C34" t="s">
        <v>21</v>
      </c>
      <c r="D34" t="s">
        <v>18</v>
      </c>
      <c r="E34">
        <v>112321</v>
      </c>
      <c r="F34">
        <v>16939</v>
      </c>
      <c r="G34">
        <v>64</v>
      </c>
      <c r="H34" t="s">
        <v>59</v>
      </c>
    </row>
    <row r="35" spans="1:8" x14ac:dyDescent="0.3">
      <c r="A35">
        <v>1035</v>
      </c>
      <c r="B35" t="s">
        <v>31</v>
      </c>
      <c r="C35" t="s">
        <v>23</v>
      </c>
      <c r="D35" t="s">
        <v>10</v>
      </c>
      <c r="E35">
        <v>50008</v>
      </c>
      <c r="F35">
        <v>20667</v>
      </c>
      <c r="G35">
        <v>57</v>
      </c>
      <c r="H35" t="s">
        <v>41</v>
      </c>
    </row>
    <row r="36" spans="1:8" x14ac:dyDescent="0.3">
      <c r="A36">
        <v>1036</v>
      </c>
      <c r="B36" t="s">
        <v>20</v>
      </c>
      <c r="C36" t="s">
        <v>21</v>
      </c>
      <c r="D36" t="s">
        <v>32</v>
      </c>
      <c r="E36">
        <v>36310</v>
      </c>
      <c r="F36">
        <v>15866</v>
      </c>
      <c r="G36">
        <v>78</v>
      </c>
      <c r="H36" t="s">
        <v>60</v>
      </c>
    </row>
    <row r="37" spans="1:8" x14ac:dyDescent="0.3">
      <c r="A37">
        <v>1037</v>
      </c>
      <c r="B37" t="s">
        <v>20</v>
      </c>
      <c r="C37" t="s">
        <v>17</v>
      </c>
      <c r="D37" t="s">
        <v>36</v>
      </c>
      <c r="E37">
        <v>56248</v>
      </c>
      <c r="F37">
        <v>14109</v>
      </c>
      <c r="G37">
        <v>83</v>
      </c>
      <c r="H37" t="s">
        <v>61</v>
      </c>
    </row>
    <row r="38" spans="1:8" x14ac:dyDescent="0.3">
      <c r="A38">
        <v>1038</v>
      </c>
      <c r="B38" t="s">
        <v>20</v>
      </c>
      <c r="C38" t="s">
        <v>9</v>
      </c>
      <c r="D38" t="s">
        <v>10</v>
      </c>
      <c r="E38">
        <v>110413</v>
      </c>
      <c r="F38">
        <v>21948</v>
      </c>
      <c r="G38">
        <v>68</v>
      </c>
      <c r="H38" t="s">
        <v>62</v>
      </c>
    </row>
    <row r="39" spans="1:8" x14ac:dyDescent="0.3">
      <c r="A39">
        <v>1039</v>
      </c>
      <c r="B39" t="s">
        <v>49</v>
      </c>
      <c r="C39" t="s">
        <v>13</v>
      </c>
      <c r="D39" t="s">
        <v>14</v>
      </c>
      <c r="E39">
        <v>118292</v>
      </c>
      <c r="F39">
        <v>20440</v>
      </c>
      <c r="G39">
        <v>91</v>
      </c>
      <c r="H39" t="s">
        <v>63</v>
      </c>
    </row>
    <row r="40" spans="1:8" x14ac:dyDescent="0.3">
      <c r="A40">
        <v>1040</v>
      </c>
      <c r="B40" t="s">
        <v>35</v>
      </c>
      <c r="C40" t="s">
        <v>21</v>
      </c>
      <c r="D40" t="s">
        <v>10</v>
      </c>
      <c r="E40">
        <v>37692</v>
      </c>
      <c r="F40">
        <v>21368</v>
      </c>
      <c r="G40">
        <v>60</v>
      </c>
      <c r="H40" t="s">
        <v>64</v>
      </c>
    </row>
    <row r="41" spans="1:8" x14ac:dyDescent="0.3">
      <c r="A41">
        <v>1041</v>
      </c>
      <c r="B41" t="s">
        <v>31</v>
      </c>
      <c r="C41" t="s">
        <v>9</v>
      </c>
      <c r="D41" t="s">
        <v>18</v>
      </c>
      <c r="E41">
        <v>89020</v>
      </c>
      <c r="F41">
        <v>2766</v>
      </c>
      <c r="G41">
        <v>66</v>
      </c>
      <c r="H41" t="s">
        <v>65</v>
      </c>
    </row>
    <row r="42" spans="1:8" x14ac:dyDescent="0.3">
      <c r="A42">
        <v>1042</v>
      </c>
      <c r="B42" t="s">
        <v>25</v>
      </c>
      <c r="C42" t="s">
        <v>23</v>
      </c>
      <c r="D42" t="s">
        <v>14</v>
      </c>
      <c r="E42">
        <v>93265</v>
      </c>
      <c r="F42">
        <v>15097</v>
      </c>
      <c r="G42">
        <v>79</v>
      </c>
      <c r="H42" t="s">
        <v>66</v>
      </c>
    </row>
    <row r="43" spans="1:8" x14ac:dyDescent="0.3">
      <c r="A43">
        <v>1043</v>
      </c>
      <c r="B43" t="s">
        <v>31</v>
      </c>
      <c r="C43" t="s">
        <v>13</v>
      </c>
      <c r="D43" t="s">
        <v>14</v>
      </c>
      <c r="E43">
        <v>46792</v>
      </c>
      <c r="F43">
        <v>17871</v>
      </c>
      <c r="G43">
        <v>65</v>
      </c>
      <c r="H43" t="s">
        <v>67</v>
      </c>
    </row>
    <row r="44" spans="1:8" x14ac:dyDescent="0.3">
      <c r="A44">
        <v>1044</v>
      </c>
      <c r="B44" t="s">
        <v>35</v>
      </c>
      <c r="C44" t="s">
        <v>17</v>
      </c>
      <c r="D44" t="s">
        <v>36</v>
      </c>
      <c r="E44">
        <v>53295</v>
      </c>
      <c r="F44">
        <v>14697</v>
      </c>
      <c r="G44">
        <v>66</v>
      </c>
      <c r="H44" t="s">
        <v>68</v>
      </c>
    </row>
    <row r="45" spans="1:8" x14ac:dyDescent="0.3">
      <c r="A45">
        <v>1045</v>
      </c>
      <c r="B45" t="s">
        <v>12</v>
      </c>
      <c r="C45" t="s">
        <v>13</v>
      </c>
      <c r="D45" t="s">
        <v>18</v>
      </c>
      <c r="E45">
        <v>90044</v>
      </c>
      <c r="F45">
        <v>13182</v>
      </c>
      <c r="G45">
        <v>94</v>
      </c>
      <c r="H45" t="s">
        <v>69</v>
      </c>
    </row>
    <row r="46" spans="1:8" x14ac:dyDescent="0.3">
      <c r="A46">
        <v>1046</v>
      </c>
      <c r="B46" t="s">
        <v>27</v>
      </c>
      <c r="C46" t="s">
        <v>9</v>
      </c>
      <c r="D46" t="s">
        <v>10</v>
      </c>
      <c r="E46">
        <v>114509</v>
      </c>
      <c r="F46">
        <v>20989</v>
      </c>
      <c r="G46">
        <v>61</v>
      </c>
      <c r="H46" t="s">
        <v>70</v>
      </c>
    </row>
    <row r="47" spans="1:8" x14ac:dyDescent="0.3">
      <c r="A47">
        <v>1047</v>
      </c>
      <c r="B47" t="s">
        <v>16</v>
      </c>
      <c r="C47" t="s">
        <v>13</v>
      </c>
      <c r="D47" t="s">
        <v>10</v>
      </c>
      <c r="E47">
        <v>41639</v>
      </c>
      <c r="F47">
        <v>16168</v>
      </c>
      <c r="G47">
        <v>65</v>
      </c>
      <c r="H47" t="s">
        <v>71</v>
      </c>
    </row>
    <row r="48" spans="1:8" x14ac:dyDescent="0.3">
      <c r="A48">
        <v>1048</v>
      </c>
      <c r="B48" t="s">
        <v>25</v>
      </c>
      <c r="C48" t="s">
        <v>9</v>
      </c>
      <c r="D48" t="s">
        <v>14</v>
      </c>
      <c r="E48">
        <v>57656</v>
      </c>
      <c r="F48">
        <v>2765</v>
      </c>
      <c r="G48">
        <v>71</v>
      </c>
      <c r="H48" t="s">
        <v>72</v>
      </c>
    </row>
    <row r="49" spans="1:8" x14ac:dyDescent="0.3">
      <c r="A49">
        <v>1049</v>
      </c>
      <c r="B49" t="s">
        <v>49</v>
      </c>
      <c r="C49" t="s">
        <v>17</v>
      </c>
      <c r="D49" t="s">
        <v>14</v>
      </c>
      <c r="E49">
        <v>91628</v>
      </c>
      <c r="F49">
        <v>2774</v>
      </c>
      <c r="G49">
        <v>79</v>
      </c>
      <c r="H49" t="s">
        <v>73</v>
      </c>
    </row>
    <row r="50" spans="1:8" x14ac:dyDescent="0.3">
      <c r="A50">
        <v>1050</v>
      </c>
      <c r="B50" t="s">
        <v>35</v>
      </c>
      <c r="C50" t="s">
        <v>17</v>
      </c>
      <c r="D50" t="s">
        <v>10</v>
      </c>
      <c r="E50">
        <v>37531</v>
      </c>
      <c r="F50">
        <v>6869</v>
      </c>
      <c r="G50">
        <v>50</v>
      </c>
      <c r="H50" t="s">
        <v>74</v>
      </c>
    </row>
    <row r="51" spans="1:8" x14ac:dyDescent="0.3">
      <c r="A51">
        <v>1051</v>
      </c>
      <c r="B51" t="s">
        <v>12</v>
      </c>
      <c r="C51" t="s">
        <v>17</v>
      </c>
      <c r="D51" t="s">
        <v>36</v>
      </c>
      <c r="E51">
        <v>84633</v>
      </c>
      <c r="F51">
        <v>23220</v>
      </c>
      <c r="G51">
        <v>64</v>
      </c>
      <c r="H51" t="s">
        <v>75</v>
      </c>
    </row>
    <row r="52" spans="1:8" x14ac:dyDescent="0.3">
      <c r="A52">
        <v>1052</v>
      </c>
      <c r="B52" t="s">
        <v>27</v>
      </c>
      <c r="C52" t="s">
        <v>17</v>
      </c>
      <c r="D52" t="s">
        <v>32</v>
      </c>
      <c r="E52">
        <v>85934</v>
      </c>
      <c r="F52">
        <v>13801</v>
      </c>
      <c r="G52">
        <v>55</v>
      </c>
      <c r="H52" t="s">
        <v>76</v>
      </c>
    </row>
    <row r="53" spans="1:8" x14ac:dyDescent="0.3">
      <c r="A53">
        <v>1053</v>
      </c>
      <c r="B53" t="s">
        <v>25</v>
      </c>
      <c r="C53" t="s">
        <v>23</v>
      </c>
      <c r="D53" t="s">
        <v>14</v>
      </c>
      <c r="E53">
        <v>118005</v>
      </c>
      <c r="F53">
        <v>17161</v>
      </c>
      <c r="G53">
        <v>84</v>
      </c>
      <c r="H53" t="s">
        <v>77</v>
      </c>
    </row>
    <row r="54" spans="1:8" x14ac:dyDescent="0.3">
      <c r="A54">
        <v>1054</v>
      </c>
      <c r="B54" t="s">
        <v>35</v>
      </c>
      <c r="C54" t="s">
        <v>13</v>
      </c>
      <c r="D54" t="s">
        <v>32</v>
      </c>
      <c r="E54">
        <v>79587</v>
      </c>
      <c r="F54">
        <v>17983</v>
      </c>
      <c r="G54">
        <v>63</v>
      </c>
      <c r="H54" t="s">
        <v>78</v>
      </c>
    </row>
    <row r="55" spans="1:8" x14ac:dyDescent="0.3">
      <c r="A55">
        <v>1055</v>
      </c>
      <c r="B55" t="s">
        <v>25</v>
      </c>
      <c r="C55" t="s">
        <v>23</v>
      </c>
      <c r="D55" t="s">
        <v>18</v>
      </c>
      <c r="E55">
        <v>111450</v>
      </c>
      <c r="F55">
        <v>14877</v>
      </c>
      <c r="G55">
        <v>100</v>
      </c>
      <c r="H55" t="s">
        <v>79</v>
      </c>
    </row>
    <row r="56" spans="1:8" x14ac:dyDescent="0.3">
      <c r="A56">
        <v>1056</v>
      </c>
      <c r="B56" t="s">
        <v>16</v>
      </c>
      <c r="C56" t="s">
        <v>17</v>
      </c>
      <c r="D56" t="s">
        <v>18</v>
      </c>
      <c r="E56">
        <v>42200</v>
      </c>
      <c r="F56">
        <v>11435</v>
      </c>
      <c r="G56">
        <v>97</v>
      </c>
      <c r="H56" t="s">
        <v>80</v>
      </c>
    </row>
    <row r="57" spans="1:8" x14ac:dyDescent="0.3">
      <c r="A57">
        <v>1057</v>
      </c>
      <c r="B57" t="s">
        <v>20</v>
      </c>
      <c r="C57" t="s">
        <v>13</v>
      </c>
      <c r="D57" t="s">
        <v>32</v>
      </c>
      <c r="E57">
        <v>72380</v>
      </c>
      <c r="F57">
        <v>19460</v>
      </c>
      <c r="G57">
        <v>71</v>
      </c>
      <c r="H57" t="s">
        <v>81</v>
      </c>
    </row>
    <row r="58" spans="1:8" x14ac:dyDescent="0.3">
      <c r="A58">
        <v>1058</v>
      </c>
      <c r="B58" t="s">
        <v>12</v>
      </c>
      <c r="C58" t="s">
        <v>17</v>
      </c>
      <c r="D58" t="s">
        <v>10</v>
      </c>
      <c r="E58">
        <v>76288</v>
      </c>
      <c r="F58">
        <v>23318</v>
      </c>
      <c r="G58">
        <v>85</v>
      </c>
      <c r="H58" t="s">
        <v>82</v>
      </c>
    </row>
    <row r="59" spans="1:8" x14ac:dyDescent="0.3">
      <c r="A59">
        <v>1059</v>
      </c>
      <c r="B59" t="s">
        <v>16</v>
      </c>
      <c r="C59" t="s">
        <v>23</v>
      </c>
      <c r="D59" t="s">
        <v>32</v>
      </c>
      <c r="E59">
        <v>40195</v>
      </c>
      <c r="F59">
        <v>6287</v>
      </c>
      <c r="G59">
        <v>62</v>
      </c>
      <c r="H59" t="s">
        <v>26</v>
      </c>
    </row>
    <row r="60" spans="1:8" x14ac:dyDescent="0.3">
      <c r="A60">
        <v>1060</v>
      </c>
      <c r="B60" t="s">
        <v>35</v>
      </c>
      <c r="C60" t="s">
        <v>17</v>
      </c>
      <c r="D60" t="s">
        <v>32</v>
      </c>
      <c r="E60">
        <v>67177</v>
      </c>
      <c r="F60">
        <v>11839</v>
      </c>
      <c r="G60">
        <v>99</v>
      </c>
      <c r="H60" t="s">
        <v>83</v>
      </c>
    </row>
    <row r="61" spans="1:8" x14ac:dyDescent="0.3">
      <c r="A61">
        <v>1061</v>
      </c>
      <c r="B61" t="s">
        <v>31</v>
      </c>
      <c r="C61" t="s">
        <v>23</v>
      </c>
      <c r="D61" t="s">
        <v>36</v>
      </c>
      <c r="E61">
        <v>113184</v>
      </c>
      <c r="F61">
        <v>11929</v>
      </c>
      <c r="G61">
        <v>59</v>
      </c>
      <c r="H61" t="s">
        <v>84</v>
      </c>
    </row>
    <row r="62" spans="1:8" x14ac:dyDescent="0.3">
      <c r="A62">
        <v>1062</v>
      </c>
      <c r="B62" t="s">
        <v>35</v>
      </c>
      <c r="C62" t="s">
        <v>21</v>
      </c>
      <c r="D62" t="s">
        <v>14</v>
      </c>
      <c r="E62">
        <v>117722</v>
      </c>
      <c r="F62">
        <v>8264</v>
      </c>
      <c r="G62">
        <v>88</v>
      </c>
      <c r="H62" t="s">
        <v>85</v>
      </c>
    </row>
    <row r="63" spans="1:8" x14ac:dyDescent="0.3">
      <c r="A63">
        <v>1063</v>
      </c>
      <c r="B63" t="s">
        <v>25</v>
      </c>
      <c r="C63" t="s">
        <v>17</v>
      </c>
      <c r="D63" t="s">
        <v>10</v>
      </c>
      <c r="E63">
        <v>90776</v>
      </c>
      <c r="F63">
        <v>21476</v>
      </c>
      <c r="G63">
        <v>85</v>
      </c>
      <c r="H63" t="s">
        <v>46</v>
      </c>
    </row>
    <row r="64" spans="1:8" x14ac:dyDescent="0.3">
      <c r="A64">
        <v>1064</v>
      </c>
      <c r="B64" t="s">
        <v>31</v>
      </c>
      <c r="C64" t="s">
        <v>13</v>
      </c>
      <c r="D64" t="s">
        <v>36</v>
      </c>
      <c r="E64">
        <v>118802</v>
      </c>
      <c r="F64">
        <v>2685</v>
      </c>
      <c r="G64">
        <v>85</v>
      </c>
      <c r="H64" t="s">
        <v>86</v>
      </c>
    </row>
    <row r="65" spans="1:8" x14ac:dyDescent="0.3">
      <c r="A65">
        <v>1065</v>
      </c>
      <c r="B65" t="s">
        <v>35</v>
      </c>
      <c r="C65" t="s">
        <v>17</v>
      </c>
      <c r="D65" t="s">
        <v>36</v>
      </c>
      <c r="E65">
        <v>115498</v>
      </c>
      <c r="F65">
        <v>24568</v>
      </c>
      <c r="G65">
        <v>74</v>
      </c>
      <c r="H65" t="s">
        <v>87</v>
      </c>
    </row>
    <row r="66" spans="1:8" x14ac:dyDescent="0.3">
      <c r="A66">
        <v>1066</v>
      </c>
      <c r="B66" t="s">
        <v>27</v>
      </c>
      <c r="C66" t="s">
        <v>21</v>
      </c>
      <c r="D66" t="s">
        <v>10</v>
      </c>
      <c r="E66">
        <v>106787</v>
      </c>
      <c r="F66">
        <v>16616</v>
      </c>
      <c r="G66">
        <v>69</v>
      </c>
      <c r="H66" t="s">
        <v>88</v>
      </c>
    </row>
    <row r="67" spans="1:8" x14ac:dyDescent="0.3">
      <c r="A67">
        <v>1067</v>
      </c>
      <c r="B67" t="s">
        <v>16</v>
      </c>
      <c r="C67" t="s">
        <v>23</v>
      </c>
      <c r="D67" t="s">
        <v>10</v>
      </c>
      <c r="E67">
        <v>89532</v>
      </c>
      <c r="F67">
        <v>18156</v>
      </c>
      <c r="G67">
        <v>82</v>
      </c>
      <c r="H67" t="s">
        <v>89</v>
      </c>
    </row>
    <row r="68" spans="1:8" x14ac:dyDescent="0.3">
      <c r="A68">
        <v>1068</v>
      </c>
      <c r="B68" t="s">
        <v>8</v>
      </c>
      <c r="C68" t="s">
        <v>23</v>
      </c>
      <c r="D68" t="s">
        <v>18</v>
      </c>
      <c r="E68">
        <v>110357</v>
      </c>
      <c r="F68">
        <v>12809</v>
      </c>
      <c r="G68">
        <v>80</v>
      </c>
      <c r="H68" t="s">
        <v>90</v>
      </c>
    </row>
    <row r="69" spans="1:8" x14ac:dyDescent="0.3">
      <c r="A69">
        <v>1069</v>
      </c>
      <c r="B69" t="s">
        <v>27</v>
      </c>
      <c r="C69" t="s">
        <v>13</v>
      </c>
      <c r="D69" t="s">
        <v>32</v>
      </c>
      <c r="E69">
        <v>58083</v>
      </c>
      <c r="F69">
        <v>17468</v>
      </c>
      <c r="G69">
        <v>84</v>
      </c>
      <c r="H69" t="s">
        <v>91</v>
      </c>
    </row>
    <row r="70" spans="1:8" x14ac:dyDescent="0.3">
      <c r="A70">
        <v>1070</v>
      </c>
      <c r="B70" t="s">
        <v>25</v>
      </c>
      <c r="C70" t="s">
        <v>17</v>
      </c>
      <c r="D70" t="s">
        <v>18</v>
      </c>
      <c r="E70">
        <v>92977</v>
      </c>
      <c r="F70">
        <v>14212</v>
      </c>
      <c r="G70">
        <v>100</v>
      </c>
      <c r="H70" t="s">
        <v>92</v>
      </c>
    </row>
    <row r="71" spans="1:8" x14ac:dyDescent="0.3">
      <c r="A71">
        <v>1071</v>
      </c>
      <c r="B71" t="s">
        <v>31</v>
      </c>
      <c r="C71" t="s">
        <v>23</v>
      </c>
      <c r="D71" t="s">
        <v>36</v>
      </c>
      <c r="E71">
        <v>76605</v>
      </c>
      <c r="F71">
        <v>3957</v>
      </c>
      <c r="G71">
        <v>82</v>
      </c>
      <c r="H71" t="s">
        <v>93</v>
      </c>
    </row>
    <row r="72" spans="1:8" x14ac:dyDescent="0.3">
      <c r="A72">
        <v>1072</v>
      </c>
      <c r="B72" t="s">
        <v>25</v>
      </c>
      <c r="C72" t="s">
        <v>17</v>
      </c>
      <c r="D72" t="s">
        <v>32</v>
      </c>
      <c r="E72">
        <v>78839</v>
      </c>
      <c r="F72">
        <v>8877</v>
      </c>
      <c r="G72">
        <v>84</v>
      </c>
      <c r="H72" t="s">
        <v>94</v>
      </c>
    </row>
    <row r="73" spans="1:8" x14ac:dyDescent="0.3">
      <c r="A73">
        <v>1073</v>
      </c>
      <c r="B73" t="s">
        <v>20</v>
      </c>
      <c r="C73" t="s">
        <v>17</v>
      </c>
      <c r="D73" t="s">
        <v>36</v>
      </c>
      <c r="E73">
        <v>106787</v>
      </c>
      <c r="F73">
        <v>24784</v>
      </c>
      <c r="G73">
        <v>85</v>
      </c>
      <c r="H73" t="s">
        <v>95</v>
      </c>
    </row>
    <row r="74" spans="1:8" x14ac:dyDescent="0.3">
      <c r="A74">
        <v>1074</v>
      </c>
      <c r="B74" t="s">
        <v>49</v>
      </c>
      <c r="C74" t="s">
        <v>9</v>
      </c>
      <c r="D74" t="s">
        <v>10</v>
      </c>
      <c r="E74">
        <v>90713</v>
      </c>
      <c r="F74">
        <v>18716</v>
      </c>
      <c r="G74">
        <v>66</v>
      </c>
      <c r="H74" t="s">
        <v>96</v>
      </c>
    </row>
    <row r="75" spans="1:8" x14ac:dyDescent="0.3">
      <c r="A75">
        <v>1075</v>
      </c>
      <c r="B75" t="s">
        <v>25</v>
      </c>
      <c r="C75" t="s">
        <v>9</v>
      </c>
      <c r="D75" t="s">
        <v>18</v>
      </c>
      <c r="E75">
        <v>110715</v>
      </c>
      <c r="F75">
        <v>21214</v>
      </c>
      <c r="G75">
        <v>83</v>
      </c>
      <c r="H75" t="s">
        <v>97</v>
      </c>
    </row>
    <row r="76" spans="1:8" x14ac:dyDescent="0.3">
      <c r="A76">
        <v>1076</v>
      </c>
      <c r="B76" t="s">
        <v>44</v>
      </c>
      <c r="C76" t="s">
        <v>13</v>
      </c>
      <c r="D76" t="s">
        <v>14</v>
      </c>
      <c r="E76">
        <v>119678</v>
      </c>
      <c r="F76">
        <v>4057</v>
      </c>
      <c r="G76">
        <v>76</v>
      </c>
      <c r="H76" t="s">
        <v>98</v>
      </c>
    </row>
    <row r="77" spans="1:8" x14ac:dyDescent="0.3">
      <c r="A77">
        <v>1077</v>
      </c>
      <c r="B77" t="s">
        <v>44</v>
      </c>
      <c r="C77" t="s">
        <v>17</v>
      </c>
      <c r="D77" t="s">
        <v>10</v>
      </c>
      <c r="E77">
        <v>56857</v>
      </c>
      <c r="F77">
        <v>17950</v>
      </c>
      <c r="G77">
        <v>93</v>
      </c>
      <c r="H77" t="s">
        <v>99</v>
      </c>
    </row>
    <row r="78" spans="1:8" x14ac:dyDescent="0.3">
      <c r="A78">
        <v>1078</v>
      </c>
      <c r="B78" t="s">
        <v>25</v>
      </c>
      <c r="C78" t="s">
        <v>23</v>
      </c>
      <c r="D78" t="s">
        <v>18</v>
      </c>
      <c r="E78">
        <v>94215</v>
      </c>
      <c r="F78">
        <v>20389</v>
      </c>
      <c r="G78">
        <v>98</v>
      </c>
      <c r="H78" t="s">
        <v>100</v>
      </c>
    </row>
    <row r="79" spans="1:8" x14ac:dyDescent="0.3">
      <c r="A79">
        <v>1079</v>
      </c>
      <c r="B79" t="s">
        <v>27</v>
      </c>
      <c r="C79" t="s">
        <v>9</v>
      </c>
      <c r="D79" t="s">
        <v>36</v>
      </c>
      <c r="E79">
        <v>119986</v>
      </c>
      <c r="F79">
        <v>10600</v>
      </c>
      <c r="G79">
        <v>95</v>
      </c>
      <c r="H79" t="s">
        <v>101</v>
      </c>
    </row>
    <row r="80" spans="1:8" x14ac:dyDescent="0.3">
      <c r="A80">
        <v>1080</v>
      </c>
      <c r="B80" t="s">
        <v>25</v>
      </c>
      <c r="C80" t="s">
        <v>17</v>
      </c>
      <c r="D80" t="s">
        <v>14</v>
      </c>
      <c r="E80">
        <v>54988</v>
      </c>
      <c r="F80">
        <v>16039</v>
      </c>
      <c r="G80">
        <v>74</v>
      </c>
      <c r="H80" t="s">
        <v>102</v>
      </c>
    </row>
    <row r="81" spans="1:8" x14ac:dyDescent="0.3">
      <c r="A81">
        <v>1081</v>
      </c>
      <c r="B81" t="s">
        <v>27</v>
      </c>
      <c r="C81" t="s">
        <v>21</v>
      </c>
      <c r="D81" t="s">
        <v>10</v>
      </c>
      <c r="E81">
        <v>61708</v>
      </c>
      <c r="F81">
        <v>24709</v>
      </c>
      <c r="G81">
        <v>61</v>
      </c>
      <c r="H81" t="s">
        <v>103</v>
      </c>
    </row>
    <row r="82" spans="1:8" x14ac:dyDescent="0.3">
      <c r="A82">
        <v>1082</v>
      </c>
      <c r="B82" t="s">
        <v>27</v>
      </c>
      <c r="C82" t="s">
        <v>13</v>
      </c>
      <c r="D82" t="s">
        <v>18</v>
      </c>
      <c r="E82">
        <v>87925</v>
      </c>
      <c r="F82">
        <v>19102</v>
      </c>
      <c r="G82">
        <v>61</v>
      </c>
      <c r="H82" t="s">
        <v>104</v>
      </c>
    </row>
    <row r="83" spans="1:8" x14ac:dyDescent="0.3">
      <c r="A83">
        <v>1083</v>
      </c>
      <c r="B83" t="s">
        <v>35</v>
      </c>
      <c r="C83" t="s">
        <v>9</v>
      </c>
      <c r="D83" t="s">
        <v>14</v>
      </c>
      <c r="E83">
        <v>114648</v>
      </c>
      <c r="F83">
        <v>18113</v>
      </c>
      <c r="G83">
        <v>59</v>
      </c>
      <c r="H83" t="s">
        <v>105</v>
      </c>
    </row>
    <row r="84" spans="1:8" x14ac:dyDescent="0.3">
      <c r="A84">
        <v>1084</v>
      </c>
      <c r="B84" t="s">
        <v>16</v>
      </c>
      <c r="C84" t="s">
        <v>13</v>
      </c>
      <c r="D84" t="s">
        <v>14</v>
      </c>
      <c r="E84">
        <v>92663</v>
      </c>
      <c r="F84">
        <v>22553</v>
      </c>
      <c r="G84">
        <v>98</v>
      </c>
      <c r="H84" t="s">
        <v>106</v>
      </c>
    </row>
    <row r="85" spans="1:8" x14ac:dyDescent="0.3">
      <c r="A85">
        <v>1085</v>
      </c>
      <c r="B85" t="s">
        <v>25</v>
      </c>
      <c r="C85" t="s">
        <v>23</v>
      </c>
      <c r="D85" t="s">
        <v>18</v>
      </c>
      <c r="E85">
        <v>44781</v>
      </c>
      <c r="F85">
        <v>10784</v>
      </c>
      <c r="G85">
        <v>94</v>
      </c>
      <c r="H85" t="s">
        <v>107</v>
      </c>
    </row>
    <row r="86" spans="1:8" x14ac:dyDescent="0.3">
      <c r="A86">
        <v>1086</v>
      </c>
      <c r="B86" t="s">
        <v>35</v>
      </c>
      <c r="C86" t="s">
        <v>9</v>
      </c>
      <c r="D86" t="s">
        <v>18</v>
      </c>
      <c r="E86">
        <v>71956</v>
      </c>
      <c r="F86">
        <v>11456</v>
      </c>
      <c r="G86">
        <v>71</v>
      </c>
      <c r="H86" t="s">
        <v>108</v>
      </c>
    </row>
    <row r="87" spans="1:8" x14ac:dyDescent="0.3">
      <c r="A87">
        <v>1087</v>
      </c>
      <c r="B87" t="s">
        <v>12</v>
      </c>
      <c r="C87" t="s">
        <v>9</v>
      </c>
      <c r="D87" t="s">
        <v>36</v>
      </c>
      <c r="E87">
        <v>44638</v>
      </c>
      <c r="F87">
        <v>11379</v>
      </c>
      <c r="G87">
        <v>84</v>
      </c>
      <c r="H87" t="s">
        <v>109</v>
      </c>
    </row>
    <row r="88" spans="1:8" x14ac:dyDescent="0.3">
      <c r="A88">
        <v>1088</v>
      </c>
      <c r="B88" t="s">
        <v>31</v>
      </c>
      <c r="C88" t="s">
        <v>17</v>
      </c>
      <c r="D88" t="s">
        <v>10</v>
      </c>
      <c r="E88">
        <v>104703</v>
      </c>
      <c r="F88">
        <v>24397</v>
      </c>
      <c r="G88">
        <v>81</v>
      </c>
      <c r="H88" t="s">
        <v>110</v>
      </c>
    </row>
    <row r="89" spans="1:8" x14ac:dyDescent="0.3">
      <c r="A89">
        <v>1089</v>
      </c>
      <c r="B89" t="s">
        <v>31</v>
      </c>
      <c r="C89" t="s">
        <v>17</v>
      </c>
      <c r="D89" t="s">
        <v>14</v>
      </c>
      <c r="E89">
        <v>82596</v>
      </c>
      <c r="F89">
        <v>20438</v>
      </c>
      <c r="G89">
        <v>80</v>
      </c>
      <c r="H89" t="s">
        <v>111</v>
      </c>
    </row>
    <row r="90" spans="1:8" x14ac:dyDescent="0.3">
      <c r="A90">
        <v>1090</v>
      </c>
      <c r="B90" t="s">
        <v>25</v>
      </c>
      <c r="C90" t="s">
        <v>17</v>
      </c>
      <c r="D90" t="s">
        <v>32</v>
      </c>
      <c r="E90">
        <v>84801</v>
      </c>
      <c r="F90">
        <v>16894</v>
      </c>
      <c r="G90">
        <v>99</v>
      </c>
      <c r="H90" t="s">
        <v>112</v>
      </c>
    </row>
    <row r="91" spans="1:8" x14ac:dyDescent="0.3">
      <c r="A91">
        <v>1091</v>
      </c>
      <c r="B91" t="s">
        <v>31</v>
      </c>
      <c r="C91" t="s">
        <v>21</v>
      </c>
      <c r="D91" t="s">
        <v>36</v>
      </c>
      <c r="E91">
        <v>85005</v>
      </c>
      <c r="F91">
        <v>14921</v>
      </c>
      <c r="G91">
        <v>83</v>
      </c>
      <c r="H91" t="s">
        <v>113</v>
      </c>
    </row>
    <row r="92" spans="1:8" x14ac:dyDescent="0.3">
      <c r="A92">
        <v>1092</v>
      </c>
      <c r="B92" t="s">
        <v>25</v>
      </c>
      <c r="C92" t="s">
        <v>21</v>
      </c>
      <c r="D92" t="s">
        <v>10</v>
      </c>
      <c r="E92">
        <v>94614</v>
      </c>
      <c r="F92">
        <v>7108</v>
      </c>
      <c r="G92">
        <v>84</v>
      </c>
      <c r="H92" t="s">
        <v>114</v>
      </c>
    </row>
    <row r="93" spans="1:8" x14ac:dyDescent="0.3">
      <c r="A93">
        <v>1093</v>
      </c>
      <c r="B93" t="s">
        <v>49</v>
      </c>
      <c r="C93" t="s">
        <v>9</v>
      </c>
      <c r="D93" t="s">
        <v>36</v>
      </c>
      <c r="E93">
        <v>84873</v>
      </c>
      <c r="F93">
        <v>12434</v>
      </c>
      <c r="G93">
        <v>55</v>
      </c>
      <c r="H93" t="s">
        <v>115</v>
      </c>
    </row>
    <row r="94" spans="1:8" x14ac:dyDescent="0.3">
      <c r="A94">
        <v>1094</v>
      </c>
      <c r="B94" t="s">
        <v>27</v>
      </c>
      <c r="C94" t="s">
        <v>21</v>
      </c>
      <c r="D94" t="s">
        <v>14</v>
      </c>
      <c r="E94">
        <v>67290</v>
      </c>
      <c r="F94">
        <v>10608</v>
      </c>
      <c r="G94">
        <v>98</v>
      </c>
      <c r="H94" t="s">
        <v>116</v>
      </c>
    </row>
    <row r="95" spans="1:8" x14ac:dyDescent="0.3">
      <c r="A95">
        <v>1095</v>
      </c>
      <c r="B95" t="s">
        <v>31</v>
      </c>
      <c r="C95" t="s">
        <v>23</v>
      </c>
      <c r="D95" t="s">
        <v>14</v>
      </c>
      <c r="E95">
        <v>98369</v>
      </c>
      <c r="F95">
        <v>7056</v>
      </c>
      <c r="G95">
        <v>72</v>
      </c>
      <c r="H95" t="s">
        <v>117</v>
      </c>
    </row>
    <row r="96" spans="1:8" x14ac:dyDescent="0.3">
      <c r="A96">
        <v>1096</v>
      </c>
      <c r="B96" t="s">
        <v>12</v>
      </c>
      <c r="C96" t="s">
        <v>17</v>
      </c>
      <c r="D96" t="s">
        <v>10</v>
      </c>
      <c r="E96">
        <v>108017</v>
      </c>
      <c r="F96">
        <v>19861</v>
      </c>
      <c r="G96">
        <v>60</v>
      </c>
      <c r="H96" t="s">
        <v>24</v>
      </c>
    </row>
    <row r="97" spans="1:8" x14ac:dyDescent="0.3">
      <c r="A97">
        <v>1097</v>
      </c>
      <c r="B97" t="s">
        <v>27</v>
      </c>
      <c r="C97" t="s">
        <v>17</v>
      </c>
      <c r="D97" t="s">
        <v>14</v>
      </c>
      <c r="E97">
        <v>42802</v>
      </c>
      <c r="F97">
        <v>15881</v>
      </c>
      <c r="G97">
        <v>57</v>
      </c>
      <c r="H97" t="s">
        <v>118</v>
      </c>
    </row>
    <row r="98" spans="1:8" x14ac:dyDescent="0.3">
      <c r="A98">
        <v>1098</v>
      </c>
      <c r="B98" t="s">
        <v>12</v>
      </c>
      <c r="C98" t="s">
        <v>23</v>
      </c>
      <c r="D98" t="s">
        <v>10</v>
      </c>
      <c r="E98">
        <v>114066</v>
      </c>
      <c r="F98">
        <v>17330</v>
      </c>
      <c r="G98">
        <v>56</v>
      </c>
      <c r="H98" t="s">
        <v>119</v>
      </c>
    </row>
    <row r="99" spans="1:8" x14ac:dyDescent="0.3">
      <c r="A99">
        <v>1099</v>
      </c>
      <c r="B99" t="s">
        <v>20</v>
      </c>
      <c r="C99" t="s">
        <v>23</v>
      </c>
      <c r="D99" t="s">
        <v>32</v>
      </c>
      <c r="E99">
        <v>52772</v>
      </c>
      <c r="F99">
        <v>23581</v>
      </c>
      <c r="G99">
        <v>83</v>
      </c>
      <c r="H99" t="s">
        <v>120</v>
      </c>
    </row>
    <row r="100" spans="1:8" x14ac:dyDescent="0.3">
      <c r="A100">
        <v>1100</v>
      </c>
      <c r="B100" t="s">
        <v>49</v>
      </c>
      <c r="C100" t="s">
        <v>23</v>
      </c>
      <c r="D100" t="s">
        <v>36</v>
      </c>
      <c r="E100">
        <v>85408</v>
      </c>
      <c r="F100">
        <v>21099</v>
      </c>
      <c r="G100">
        <v>60</v>
      </c>
      <c r="H100" t="s">
        <v>121</v>
      </c>
    </row>
    <row r="101" spans="1:8" x14ac:dyDescent="0.3">
      <c r="A101">
        <v>1101</v>
      </c>
      <c r="B101" t="s">
        <v>20</v>
      </c>
      <c r="C101" t="s">
        <v>23</v>
      </c>
      <c r="D101" t="s">
        <v>36</v>
      </c>
      <c r="E101">
        <v>59877</v>
      </c>
      <c r="F101">
        <v>4293</v>
      </c>
      <c r="G101">
        <v>75</v>
      </c>
      <c r="H101" t="s">
        <v>122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600E1-FFF5-4A6A-9BDB-A31AD0E7FCAF}">
  <dimension ref="A1:Q6"/>
  <sheetViews>
    <sheetView tabSelected="1" zoomScaleNormal="100" workbookViewId="0">
      <selection activeCell="S6" sqref="S6"/>
    </sheetView>
  </sheetViews>
  <sheetFormatPr defaultRowHeight="14.4" x14ac:dyDescent="0.3"/>
  <cols>
    <col min="1" max="1" width="8.88671875" style="2"/>
    <col min="2" max="2" width="12.5546875" style="2" bestFit="1" customWidth="1"/>
    <col min="3" max="3" width="13.21875" style="2" bestFit="1" customWidth="1"/>
    <col min="4" max="16384" width="8.88671875" style="2"/>
  </cols>
  <sheetData>
    <row r="1" spans="1:17" ht="21" x14ac:dyDescent="0.3">
      <c r="A1" s="6" t="s">
        <v>135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8"/>
    </row>
    <row r="3" spans="1:17" ht="21" x14ac:dyDescent="0.3">
      <c r="B3" s="3" t="s">
        <v>131</v>
      </c>
      <c r="C3" s="4"/>
      <c r="D3" s="5"/>
      <c r="F3" s="3" t="s">
        <v>132</v>
      </c>
      <c r="G3" s="4"/>
      <c r="H3" s="5"/>
      <c r="J3" s="3" t="s">
        <v>133</v>
      </c>
      <c r="K3" s="4"/>
      <c r="L3" s="5"/>
      <c r="N3" s="3" t="s">
        <v>134</v>
      </c>
      <c r="O3" s="4"/>
      <c r="P3" s="5"/>
    </row>
    <row r="4" spans="1:17" x14ac:dyDescent="0.3">
      <c r="B4" s="9">
        <f>SUM(Table1[Salary])</f>
        <v>7741917</v>
      </c>
      <c r="C4" s="10"/>
      <c r="D4" s="11"/>
      <c r="F4" s="9">
        <f>AVERAGE(Table1[Salary])</f>
        <v>77419.17</v>
      </c>
      <c r="G4" s="10"/>
      <c r="H4" s="11"/>
      <c r="J4" s="9">
        <f>MAX(Table1[Salary])</f>
        <v>119986</v>
      </c>
      <c r="K4" s="10"/>
      <c r="L4" s="11"/>
      <c r="N4" s="15">
        <f>COUNTA(Table1[EmployeeID])</f>
        <v>100</v>
      </c>
      <c r="O4" s="16"/>
      <c r="P4" s="17"/>
    </row>
    <row r="5" spans="1:17" x14ac:dyDescent="0.3">
      <c r="B5" s="9"/>
      <c r="C5" s="10"/>
      <c r="D5" s="11"/>
      <c r="F5" s="9"/>
      <c r="G5" s="10"/>
      <c r="H5" s="11"/>
      <c r="J5" s="9"/>
      <c r="K5" s="10"/>
      <c r="L5" s="11"/>
      <c r="N5" s="15"/>
      <c r="O5" s="16"/>
      <c r="P5" s="17"/>
    </row>
    <row r="6" spans="1:17" x14ac:dyDescent="0.3">
      <c r="B6" s="12"/>
      <c r="C6" s="13"/>
      <c r="D6" s="14"/>
      <c r="F6" s="12"/>
      <c r="G6" s="13"/>
      <c r="H6" s="14"/>
      <c r="J6" s="12"/>
      <c r="K6" s="13"/>
      <c r="L6" s="14"/>
      <c r="N6" s="18"/>
      <c r="O6" s="19"/>
      <c r="P6" s="20"/>
    </row>
  </sheetData>
  <mergeCells count="9">
    <mergeCell ref="A1:Q1"/>
    <mergeCell ref="B3:D3"/>
    <mergeCell ref="B4:D6"/>
    <mergeCell ref="F3:H3"/>
    <mergeCell ref="F4:H6"/>
    <mergeCell ref="J3:L3"/>
    <mergeCell ref="N3:P3"/>
    <mergeCell ref="J4:L6"/>
    <mergeCell ref="N4:P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CDBD5-C0F7-43C8-B0D5-F22A0C943C12}">
  <dimension ref="A1:B7"/>
  <sheetViews>
    <sheetView workbookViewId="0">
      <selection activeCell="E24" sqref="E24"/>
    </sheetView>
  </sheetViews>
  <sheetFormatPr defaultRowHeight="14.4" x14ac:dyDescent="0.3"/>
  <sheetData>
    <row r="1" spans="1:2" x14ac:dyDescent="0.3">
      <c r="A1" s="21" t="s">
        <v>136</v>
      </c>
      <c r="B1" t="s">
        <v>138</v>
      </c>
    </row>
    <row r="2" spans="1:2" x14ac:dyDescent="0.3">
      <c r="A2" s="22" t="s">
        <v>23</v>
      </c>
      <c r="B2" s="23">
        <v>2054877</v>
      </c>
    </row>
    <row r="3" spans="1:2" x14ac:dyDescent="0.3">
      <c r="A3" s="22" t="s">
        <v>21</v>
      </c>
      <c r="B3" s="23">
        <v>1011295</v>
      </c>
    </row>
    <row r="4" spans="1:2" x14ac:dyDescent="0.3">
      <c r="A4" s="22" t="s">
        <v>13</v>
      </c>
      <c r="B4" s="23">
        <v>1490871</v>
      </c>
    </row>
    <row r="5" spans="1:2" x14ac:dyDescent="0.3">
      <c r="A5" s="22" t="s">
        <v>17</v>
      </c>
      <c r="B5" s="23">
        <v>2032211</v>
      </c>
    </row>
    <row r="6" spans="1:2" x14ac:dyDescent="0.3">
      <c r="A6" s="22" t="s">
        <v>9</v>
      </c>
      <c r="B6" s="23">
        <v>1152663</v>
      </c>
    </row>
    <row r="7" spans="1:2" x14ac:dyDescent="0.3">
      <c r="A7" s="22" t="s">
        <v>137</v>
      </c>
      <c r="B7" s="23">
        <v>7741917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"/>
  <sheetViews>
    <sheetView workbookViewId="0"/>
  </sheetViews>
  <sheetFormatPr defaultRowHeight="14.4" x14ac:dyDescent="0.3"/>
  <sheetData>
    <row r="1" spans="1:1" x14ac:dyDescent="0.3">
      <c r="A1" s="1" t="s">
        <v>123</v>
      </c>
    </row>
    <row r="3" spans="1:1" x14ac:dyDescent="0.3">
      <c r="A3" t="s">
        <v>124</v>
      </c>
    </row>
    <row r="4" spans="1:1" x14ac:dyDescent="0.3">
      <c r="A4" t="s">
        <v>125</v>
      </c>
    </row>
    <row r="5" spans="1:1" x14ac:dyDescent="0.3">
      <c r="A5" t="s">
        <v>126</v>
      </c>
    </row>
    <row r="6" spans="1:1" x14ac:dyDescent="0.3">
      <c r="A6" t="s">
        <v>127</v>
      </c>
    </row>
    <row r="7" spans="1:1" x14ac:dyDescent="0.3">
      <c r="A7" t="s">
        <v>128</v>
      </c>
    </row>
    <row r="8" spans="1:1" x14ac:dyDescent="0.3">
      <c r="A8" t="s">
        <v>129</v>
      </c>
    </row>
    <row r="9" spans="1:1" x14ac:dyDescent="0.3">
      <c r="A9" t="s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EmployeeData</vt:lpstr>
      <vt:lpstr>KPI Dashboard</vt:lpstr>
      <vt:lpstr>Pivot table</vt:lpstr>
      <vt:lpstr>PracticeTasks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RAVAL KRUNAL</cp:lastModifiedBy>
  <dcterms:created xsi:type="dcterms:W3CDTF">2026-05-12T08:51:42Z</dcterms:created>
  <dcterms:modified xsi:type="dcterms:W3CDTF">2026-05-12T09:35:36Z</dcterms:modified>
</cp:coreProperties>
</file>